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<sst xmlns="http://schemas.openxmlformats.org/spreadsheetml/2006/main" count="8195" uniqueCount="993">
  <si>
    <t>12月快递运单费用</t>
  </si>
  <si>
    <t>序号</t>
  </si>
  <si>
    <t>日期</t>
  </si>
  <si>
    <t>运单号码</t>
  </si>
  <si>
    <t>寄件地区</t>
  </si>
  <si>
    <t>到件地区</t>
  </si>
  <si>
    <t>对方公司名称</t>
  </si>
  <si>
    <t>计费重量</t>
  </si>
  <si>
    <t>产品类型</t>
  </si>
  <si>
    <t>付款方式</t>
  </si>
  <si>
    <t>费用(元)</t>
  </si>
  <si>
    <t>折扣/促销</t>
  </si>
  <si>
    <t>应付金额</t>
  </si>
  <si>
    <t>经手人</t>
  </si>
  <si>
    <t>服务</t>
  </si>
  <si>
    <t>任务类型</t>
  </si>
  <si>
    <t>下单账号</t>
  </si>
  <si>
    <t>账号所属公司</t>
  </si>
  <si>
    <t>公司性质</t>
  </si>
  <si>
    <t>备注</t>
  </si>
  <si>
    <t>1</t>
  </si>
  <si>
    <t>12-01</t>
  </si>
  <si>
    <t>SF3262372117661</t>
  </si>
  <si>
    <t>雅安</t>
  </si>
  <si>
    <t>成都/资阳/眉山</t>
  </si>
  <si>
    <t>文刚</t>
  </si>
  <si>
    <t>1.000</t>
  </si>
  <si>
    <t>顺丰标快</t>
  </si>
  <si>
    <t>寄转第三方</t>
  </si>
  <si>
    <t>13.00</t>
  </si>
  <si>
    <t>0.00</t>
  </si>
  <si>
    <t>运费</t>
  </si>
  <si>
    <t>成都江源易通信息技术有限公司</t>
  </si>
  <si>
    <t>2</t>
  </si>
  <si>
    <t>0.000</t>
  </si>
  <si>
    <t>2.00</t>
  </si>
  <si>
    <t>包装服务</t>
  </si>
  <si>
    <t>3</t>
  </si>
  <si>
    <t>SF3262372954357</t>
  </si>
  <si>
    <t>4.500</t>
  </si>
  <si>
    <t>20.00</t>
  </si>
  <si>
    <t>4</t>
  </si>
  <si>
    <t>7.00</t>
  </si>
  <si>
    <t>5</t>
  </si>
  <si>
    <t>SF3262377404072</t>
  </si>
  <si>
    <t>东莞</t>
  </si>
  <si>
    <t>邹小华</t>
  </si>
  <si>
    <t>11.00</t>
  </si>
  <si>
    <t>东莞市中汇信息技术有限公司</t>
  </si>
  <si>
    <t>6</t>
  </si>
  <si>
    <t>7</t>
  </si>
  <si>
    <t>SF3262378607753</t>
  </si>
  <si>
    <t>8</t>
  </si>
  <si>
    <t>SF3295326848005</t>
  </si>
  <si>
    <t>9</t>
  </si>
  <si>
    <t>1.00</t>
  </si>
  <si>
    <t>10</t>
  </si>
  <si>
    <t>SF3295364078732</t>
  </si>
  <si>
    <t>11</t>
  </si>
  <si>
    <t>12</t>
  </si>
  <si>
    <t>SF3295364078769</t>
  </si>
  <si>
    <t>13</t>
  </si>
  <si>
    <t>14</t>
  </si>
  <si>
    <t>SF3295365022962</t>
  </si>
  <si>
    <t>2.500</t>
  </si>
  <si>
    <t>15</t>
  </si>
  <si>
    <t>SF3295365941133</t>
  </si>
  <si>
    <t>16</t>
  </si>
  <si>
    <t>12-02</t>
  </si>
  <si>
    <t>寄付</t>
  </si>
  <si>
    <t>6.00</t>
  </si>
  <si>
    <t>收件微派</t>
  </si>
  <si>
    <t>17</t>
  </si>
  <si>
    <t>18</t>
  </si>
  <si>
    <t>19</t>
  </si>
  <si>
    <t>SF3262992584639</t>
  </si>
  <si>
    <t>深圳</t>
  </si>
  <si>
    <t>广东久益智付科技有限公司</t>
  </si>
  <si>
    <t>吴广继</t>
  </si>
  <si>
    <t>130****4667‎‎‎‬‬‬</t>
  </si>
  <si>
    <t>20</t>
  </si>
  <si>
    <t>21</t>
  </si>
  <si>
    <t>22</t>
  </si>
  <si>
    <t>23</t>
  </si>
  <si>
    <t>3.00</t>
  </si>
  <si>
    <t>24</t>
  </si>
  <si>
    <t>25</t>
  </si>
  <si>
    <t>12-03</t>
  </si>
  <si>
    <t>SF3262004095424</t>
  </si>
  <si>
    <t>吴珊珊</t>
  </si>
  <si>
    <t>饶云普</t>
  </si>
  <si>
    <t>26</t>
  </si>
  <si>
    <t>27</t>
  </si>
  <si>
    <t>SF3262004095497</t>
  </si>
  <si>
    <t>2.300</t>
  </si>
  <si>
    <t>16.00</t>
  </si>
  <si>
    <t>28</t>
  </si>
  <si>
    <t>4.00</t>
  </si>
  <si>
    <t>29</t>
  </si>
  <si>
    <t>SF3262004095742</t>
  </si>
  <si>
    <t>30</t>
  </si>
  <si>
    <t>31</t>
  </si>
  <si>
    <t>SF3262004097071</t>
  </si>
  <si>
    <t>32</t>
  </si>
  <si>
    <t>33</t>
  </si>
  <si>
    <t>SF3262016306209</t>
  </si>
  <si>
    <t>34</t>
  </si>
  <si>
    <t>35</t>
  </si>
  <si>
    <t>SF3262016306218</t>
  </si>
  <si>
    <t>36</t>
  </si>
  <si>
    <t>37</t>
  </si>
  <si>
    <t>SF3262025177518</t>
  </si>
  <si>
    <t>2.400</t>
  </si>
  <si>
    <t>12.00</t>
  </si>
  <si>
    <t>38</t>
  </si>
  <si>
    <t>39</t>
  </si>
  <si>
    <t>SF3262025177572</t>
  </si>
  <si>
    <t>5.400</t>
  </si>
  <si>
    <t>15.00</t>
  </si>
  <si>
    <t>40</t>
  </si>
  <si>
    <t>41</t>
  </si>
  <si>
    <t>SF3262025177660</t>
  </si>
  <si>
    <t>14.000</t>
  </si>
  <si>
    <t>24.00</t>
  </si>
  <si>
    <t>42</t>
  </si>
  <si>
    <t>43</t>
  </si>
  <si>
    <t>SF3262028718328</t>
  </si>
  <si>
    <t>44</t>
  </si>
  <si>
    <t>SF3262028718391</t>
  </si>
  <si>
    <t>45</t>
  </si>
  <si>
    <t>46</t>
  </si>
  <si>
    <t>SF3274904297678</t>
  </si>
  <si>
    <t>47</t>
  </si>
  <si>
    <t>SF3274976461103</t>
  </si>
  <si>
    <t>48</t>
  </si>
  <si>
    <t>49</t>
  </si>
  <si>
    <t>SF3274990520130</t>
  </si>
  <si>
    <t>惠州</t>
  </si>
  <si>
    <t>石湾美宜佳便利店(蓝湾半岛店粤20946)</t>
  </si>
  <si>
    <t>50</t>
  </si>
  <si>
    <t>12-04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</si>
  <si>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</si>
  <si>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</si>
  <si>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</si>
  <si>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</si>
  <si>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</si>
  <si>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</si>
  <si>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</si>
  <si>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</si>
  <si>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</si>
  <si>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12-05</t>
  </si>
  <si>
    <t>SF3262146754955</t>
  </si>
  <si>
    <t>乌鲁木齐</t>
  </si>
  <si>
    <t>阿贞</t>
  </si>
  <si>
    <t>60</t>
  </si>
  <si>
    <t>61</t>
  </si>
  <si>
    <t>SF3262146754991</t>
  </si>
  <si>
    <t>62</t>
  </si>
  <si>
    <t>63</t>
  </si>
  <si>
    <t>SF3262146773901</t>
  </si>
  <si>
    <t>64</t>
  </si>
  <si>
    <t>65</t>
  </si>
  <si>
    <t>SF3262146923178</t>
  </si>
  <si>
    <t>66</t>
  </si>
  <si>
    <t>67</t>
  </si>
  <si>
    <t>SF3262146923187</t>
  </si>
  <si>
    <t>32.00</t>
  </si>
  <si>
    <t>68</t>
  </si>
  <si>
    <t>69</t>
  </si>
  <si>
    <t>SF3262608338851</t>
  </si>
  <si>
    <t>70</t>
  </si>
  <si>
    <t>71</t>
  </si>
  <si>
    <t>SF3262678910763</t>
  </si>
  <si>
    <t>72</t>
  </si>
  <si>
    <t>73</t>
  </si>
  <si>
    <t>SF3262863515431</t>
  </si>
  <si>
    <t>代俊峰</t>
  </si>
  <si>
    <t>江源</t>
  </si>
  <si>
    <t>74</t>
  </si>
  <si>
    <t>SF3274239917142</t>
  </si>
  <si>
    <t>75</t>
  </si>
  <si>
    <t>76</t>
  </si>
  <si>
    <t>SF3274239917151</t>
  </si>
  <si>
    <t>77</t>
  </si>
  <si>
    <t>78</t>
  </si>
  <si>
    <t>SF3274239917973</t>
  </si>
  <si>
    <t>3.000</t>
  </si>
  <si>
    <t>36.00</t>
  </si>
  <si>
    <t>79</t>
  </si>
  <si>
    <t>5.00</t>
  </si>
  <si>
    <t>80</t>
  </si>
  <si>
    <t>SF3274279678760</t>
  </si>
  <si>
    <t>17.00</t>
  </si>
  <si>
    <t>81</t>
  </si>
  <si>
    <t>82</t>
  </si>
  <si>
    <t>SF3274418514921</t>
  </si>
  <si>
    <t>83</t>
  </si>
  <si>
    <t>SF3274418514967</t>
  </si>
  <si>
    <t>84</t>
  </si>
  <si>
    <t>SF3274418591644</t>
  </si>
  <si>
    <t>8.400</t>
  </si>
  <si>
    <t>18.00</t>
  </si>
  <si>
    <t>85</t>
  </si>
  <si>
    <t>SF3274475500278</t>
  </si>
  <si>
    <t>秦皇岛</t>
  </si>
  <si>
    <t>沈阳/铁岭/抚顺</t>
  </si>
  <si>
    <t>辽宁深蓝</t>
  </si>
  <si>
    <t>5.200</t>
  </si>
  <si>
    <t>41.00</t>
  </si>
  <si>
    <t>贾微</t>
  </si>
  <si>
    <t>辽宁深蓝数据服务有限公司</t>
  </si>
  <si>
    <t>86</t>
  </si>
  <si>
    <t>87</t>
  </si>
  <si>
    <t>SF3274708420302</t>
  </si>
  <si>
    <t>88</t>
  </si>
  <si>
    <t>89</t>
  </si>
  <si>
    <t>SF3274708420578</t>
  </si>
  <si>
    <t>90</t>
  </si>
  <si>
    <t>91</t>
  </si>
  <si>
    <t>派件微派</t>
  </si>
  <si>
    <t>92</t>
  </si>
  <si>
    <t>12-06</t>
  </si>
  <si>
    <t>93</t>
  </si>
  <si>
    <t>94</t>
  </si>
  <si>
    <t>95</t>
  </si>
  <si>
    <t>96</t>
  </si>
  <si>
    <t>97</t>
  </si>
  <si>
    <t>98</t>
  </si>
  <si>
    <t>SF3262727180607</t>
  </si>
  <si>
    <t>99</t>
  </si>
  <si>
    <t>100</t>
  </si>
  <si>
    <t>SF3262727180661</t>
  </si>
  <si>
    <t>101</t>
  </si>
  <si>
    <t>102</t>
  </si>
  <si>
    <t>SF3262727683329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</si>
  <si>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</si>
  <si>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</si>
  <si>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</si>
  <si>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</si>
  <si>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</si>
  <si>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</si>
  <si>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</si>
  <si>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</si>
  <si>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</si>
  <si>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</si>
  <si>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12-07</t>
  </si>
  <si>
    <t>113</t>
  </si>
  <si>
    <t>114</t>
  </si>
  <si>
    <t>115</t>
  </si>
  <si>
    <t>116</t>
  </si>
  <si>
    <t>117</t>
  </si>
  <si>
    <t>12-08</t>
  </si>
  <si>
    <t>SF3269240753364</t>
  </si>
  <si>
    <t>企石好想来省钱超市便利店</t>
  </si>
  <si>
    <t>118</t>
  </si>
  <si>
    <t>SF3269241885700</t>
  </si>
  <si>
    <t>寮步四个朋友自助棋牌室（碧桂园珑悦店）</t>
  </si>
  <si>
    <t>119</t>
  </si>
  <si>
    <t>SF3269246462710</t>
  </si>
  <si>
    <t>120</t>
  </si>
  <si>
    <t>121</t>
  </si>
  <si>
    <t>SF3269246608556</t>
  </si>
  <si>
    <t>常平L2咖啡</t>
  </si>
  <si>
    <t>122</t>
  </si>
  <si>
    <t>SF3269248082701</t>
  </si>
  <si>
    <t>石碣阳光羽毛球馆</t>
  </si>
  <si>
    <t>123</t>
  </si>
  <si>
    <t>SF3269933113650</t>
  </si>
  <si>
    <t>洪梅湘味石锅鱼烤鱼</t>
  </si>
  <si>
    <t>124</t>
  </si>
  <si>
    <t>SF3278126546304</t>
  </si>
  <si>
    <t>125</t>
  </si>
  <si>
    <t>SF3278179778744</t>
  </si>
  <si>
    <t>大岭山五湖体育运动中心</t>
  </si>
  <si>
    <t>126</t>
  </si>
  <si>
    <t>12-09</t>
  </si>
  <si>
    <t>SF3278024325817</t>
  </si>
  <si>
    <t>北京</t>
  </si>
  <si>
    <t>廊坊</t>
  </si>
  <si>
    <t>天津三有科技有限公司</t>
  </si>
  <si>
    <t>抖音充电宝</t>
  </si>
  <si>
    <t>山东省点线面网络科技有限公司</t>
  </si>
  <si>
    <t>127</t>
  </si>
  <si>
    <t>128</t>
  </si>
  <si>
    <t>SF3278052216016</t>
  </si>
  <si>
    <t>4.300</t>
  </si>
  <si>
    <t>129</t>
  </si>
  <si>
    <t>SF3278052216034</t>
  </si>
  <si>
    <t>2.200</t>
  </si>
  <si>
    <t>130</t>
  </si>
  <si>
    <t>131</t>
  </si>
  <si>
    <t>SF3278052216140</t>
  </si>
  <si>
    <t>132</t>
  </si>
  <si>
    <t>133</t>
  </si>
  <si>
    <t>12-10</t>
  </si>
  <si>
    <t>SF3269042397254</t>
  </si>
  <si>
    <t>罗生</t>
  </si>
  <si>
    <t>134</t>
  </si>
  <si>
    <t>135</t>
  </si>
  <si>
    <t>136</t>
  </si>
  <si>
    <t>137</t>
  </si>
  <si>
    <t>138</t>
  </si>
  <si>
    <t>139</t>
  </si>
  <si>
    <t>140</t>
  </si>
  <si>
    <t>SF3269691606001</t>
  </si>
  <si>
    <t>佛山</t>
  </si>
  <si>
    <t>141</t>
  </si>
  <si>
    <t>142</t>
  </si>
  <si>
    <t>SF3269691606126</t>
  </si>
  <si>
    <t>143</t>
  </si>
  <si>
    <t>144</t>
  </si>
  <si>
    <t>145</t>
  </si>
  <si>
    <t>146</t>
  </si>
  <si>
    <t>147</t>
  </si>
  <si>
    <t>148</t>
  </si>
  <si>
    <t>SF3278202333421</t>
  </si>
  <si>
    <t>何立林</t>
  </si>
  <si>
    <t>老炮台球俱乐部</t>
  </si>
  <si>
    <t>深圳市锐丰伟业科技有限公司</t>
  </si>
  <si>
    <t>149</t>
  </si>
  <si>
    <t>150</t>
  </si>
  <si>
    <t>SF3278202333449</t>
  </si>
  <si>
    <t>151</t>
  </si>
  <si>
    <t>152</t>
  </si>
  <si>
    <t>SF3278207454651</t>
  </si>
  <si>
    <t>2.600</t>
  </si>
  <si>
    <t>153</t>
  </si>
  <si>
    <t>154</t>
  </si>
  <si>
    <t>SF3278276131328</t>
  </si>
  <si>
    <t>155</t>
  </si>
  <si>
    <t>156</t>
  </si>
  <si>
    <t>SF3278720614683</t>
  </si>
  <si>
    <t>157</t>
  </si>
  <si>
    <t>SF3278721881453</t>
  </si>
  <si>
    <t>158</t>
  </si>
  <si>
    <t>SF3278721883531</t>
  </si>
  <si>
    <t>159</t>
  </si>
  <si>
    <t>160</t>
  </si>
  <si>
    <t>12-11</t>
  </si>
  <si>
    <t>SF3269834853653</t>
  </si>
  <si>
    <t>企石凯迪沐足(企石店)</t>
  </si>
  <si>
    <t>161</t>
  </si>
  <si>
    <t>SF3278405753506</t>
  </si>
  <si>
    <t>高埗稻田休闲垂钓鱼</t>
  </si>
  <si>
    <t>162</t>
  </si>
  <si>
    <t>SF3278434363447</t>
  </si>
  <si>
    <t>寮步银泉优品酒店</t>
  </si>
  <si>
    <t>163</t>
  </si>
  <si>
    <t>SF3278434363483</t>
  </si>
  <si>
    <t>164</t>
  </si>
  <si>
    <t>165</t>
  </si>
  <si>
    <t>166</t>
  </si>
  <si>
    <t>167</t>
  </si>
  <si>
    <t>SF3278835817464</t>
  </si>
  <si>
    <t>168</t>
  </si>
  <si>
    <t>169</t>
  </si>
  <si>
    <t>12-12</t>
  </si>
  <si>
    <t>170</t>
  </si>
  <si>
    <t>SF3269408246618</t>
  </si>
  <si>
    <t>南昌</t>
  </si>
  <si>
    <t>何志忠</t>
  </si>
  <si>
    <t>吴秋红</t>
  </si>
  <si>
    <t>深圳市嘉嘉电科技有限公司</t>
  </si>
  <si>
    <t>171</t>
  </si>
  <si>
    <t>SF3269495090258</t>
  </si>
  <si>
    <t>2.800</t>
  </si>
  <si>
    <t>29.00</t>
  </si>
  <si>
    <t>172</t>
  </si>
  <si>
    <t>SF3269560078609</t>
  </si>
  <si>
    <t>173</t>
  </si>
  <si>
    <t>SF3269707179242</t>
  </si>
  <si>
    <t>4.600</t>
  </si>
  <si>
    <t>38.00</t>
  </si>
  <si>
    <t>李爱群</t>
  </si>
  <si>
    <t>174</t>
  </si>
  <si>
    <t>175</t>
  </si>
  <si>
    <t>SF3269768176117</t>
  </si>
  <si>
    <t>176</t>
  </si>
  <si>
    <t>177</t>
  </si>
  <si>
    <t>SF3269768176320</t>
  </si>
  <si>
    <t>178</t>
  </si>
  <si>
    <t>179</t>
  </si>
  <si>
    <t>180</t>
  </si>
  <si>
    <t>181</t>
  </si>
  <si>
    <t>182</t>
  </si>
  <si>
    <t>SF3278806584111</t>
  </si>
  <si>
    <t>183</t>
  </si>
  <si>
    <t>184</t>
  </si>
  <si>
    <t>12-13</t>
  </si>
  <si>
    <t>SF3260247668034</t>
  </si>
  <si>
    <t>商丘</t>
  </si>
  <si>
    <t>高女士</t>
  </si>
  <si>
    <t>高</t>
  </si>
  <si>
    <t>东莞市聚伴科技有限公司</t>
  </si>
  <si>
    <t>185</t>
  </si>
  <si>
    <t>SF3260247668265</t>
  </si>
  <si>
    <t>186</t>
  </si>
  <si>
    <t>187</t>
  </si>
  <si>
    <t>SF3260923645215</t>
  </si>
  <si>
    <t>开封</t>
  </si>
  <si>
    <t>188</t>
  </si>
  <si>
    <t>189</t>
  </si>
  <si>
    <t>SF3260926780376</t>
  </si>
  <si>
    <t>190</t>
  </si>
  <si>
    <t>191</t>
  </si>
  <si>
    <t>SF3260990255392</t>
  </si>
  <si>
    <t>192</t>
  </si>
  <si>
    <t>SF3260991839038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</si>
  <si>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</si>
  <si>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</si>
  <si>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</si>
  <si>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</si>
  <si>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</si>
  <si>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</si>
  <si>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</si>
  <si>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</si>
  <si>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</si>
  <si>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12-14</t>
  </si>
  <si>
    <t>202</t>
  </si>
  <si>
    <t>203</t>
  </si>
  <si>
    <t>204</t>
  </si>
  <si>
    <t>205</t>
  </si>
  <si>
    <t>SF3260956999481</t>
  </si>
  <si>
    <t>3.200</t>
  </si>
  <si>
    <t>206</t>
  </si>
  <si>
    <t>207</t>
  </si>
  <si>
    <t>208</t>
  </si>
  <si>
    <t>12-15</t>
  </si>
  <si>
    <t>SF3260488516023</t>
  </si>
  <si>
    <t>209</t>
  </si>
  <si>
    <t>210</t>
  </si>
  <si>
    <t>SF3260488516087</t>
  </si>
  <si>
    <t>211</t>
  </si>
  <si>
    <t>212</t>
  </si>
  <si>
    <t>SF3260488516096</t>
  </si>
  <si>
    <t>9.800</t>
  </si>
  <si>
    <t>31.00</t>
  </si>
  <si>
    <t>立充充电宝取机柜-仅服务</t>
  </si>
  <si>
    <t>213</t>
  </si>
  <si>
    <t>214</t>
  </si>
  <si>
    <t>SF3260488516906</t>
  </si>
  <si>
    <t>215</t>
  </si>
  <si>
    <t>216</t>
  </si>
  <si>
    <t>SF3260488516979</t>
  </si>
  <si>
    <t>217</t>
  </si>
  <si>
    <t>218</t>
  </si>
  <si>
    <t>SF3260488518614</t>
  </si>
  <si>
    <t>219</t>
  </si>
  <si>
    <t>220</t>
  </si>
  <si>
    <t>SF3260491849237</t>
  </si>
  <si>
    <t>周涛</t>
  </si>
  <si>
    <t>221</t>
  </si>
  <si>
    <t>SF3260491849334</t>
  </si>
  <si>
    <t>222</t>
  </si>
  <si>
    <t>SF3260499115096</t>
  </si>
  <si>
    <t>223</t>
  </si>
  <si>
    <t>SF3260499115906</t>
  </si>
  <si>
    <t>224</t>
  </si>
  <si>
    <t>225</t>
  </si>
  <si>
    <t>12-16</t>
  </si>
  <si>
    <t>SF3261282600597</t>
  </si>
  <si>
    <t>刘洪</t>
  </si>
  <si>
    <t>226</t>
  </si>
  <si>
    <t>12-17</t>
  </si>
  <si>
    <t>227</t>
  </si>
  <si>
    <t>228</t>
  </si>
  <si>
    <t>229</t>
  </si>
  <si>
    <t>230</t>
  </si>
  <si>
    <t>231</t>
  </si>
  <si>
    <t>SF3261642298877</t>
  </si>
  <si>
    <t>232</t>
  </si>
  <si>
    <t>233</t>
  </si>
  <si>
    <t>SF3261643546502</t>
  </si>
  <si>
    <t>234</t>
  </si>
  <si>
    <t>235</t>
  </si>
  <si>
    <t>SF3261643577268</t>
  </si>
  <si>
    <t>236</t>
  </si>
  <si>
    <t>237</t>
  </si>
  <si>
    <t>SF3261870367404</t>
  </si>
  <si>
    <t>3.300</t>
  </si>
  <si>
    <t>238</t>
  </si>
  <si>
    <t>10.00</t>
  </si>
  <si>
    <t>239</t>
  </si>
  <si>
    <t>SF3261870367529</t>
  </si>
  <si>
    <t>240</t>
  </si>
  <si>
    <t>241</t>
  </si>
  <si>
    <t>12-18</t>
  </si>
  <si>
    <t>SF3261417303058</t>
  </si>
  <si>
    <t>老板</t>
  </si>
  <si>
    <t>242</t>
  </si>
  <si>
    <t>SF3261417303446</t>
  </si>
  <si>
    <t>243</t>
  </si>
  <si>
    <t>SF3261464758524</t>
  </si>
  <si>
    <t>清溪美宜佳便利店(银桥街店)</t>
  </si>
  <si>
    <t>244</t>
  </si>
  <si>
    <t>SF3261464758781</t>
  </si>
  <si>
    <t>245</t>
  </si>
  <si>
    <t>SF3261483137661</t>
  </si>
  <si>
    <t>总部</t>
  </si>
  <si>
    <t>246</t>
  </si>
  <si>
    <t>SF3261485880842</t>
  </si>
  <si>
    <t>10.000</t>
  </si>
  <si>
    <t>247</t>
  </si>
  <si>
    <t>248</t>
  </si>
  <si>
    <t>SF3261485888202</t>
  </si>
  <si>
    <t>249</t>
  </si>
  <si>
    <t>250</t>
  </si>
  <si>
    <t>SF3261485909095</t>
  </si>
  <si>
    <t>251</t>
  </si>
  <si>
    <t>252</t>
  </si>
  <si>
    <t>SF3261485909923</t>
  </si>
  <si>
    <t>253</t>
  </si>
  <si>
    <t>254</t>
  </si>
  <si>
    <t>255</t>
  </si>
  <si>
    <t>256</t>
  </si>
  <si>
    <t>257</t>
  </si>
  <si>
    <t>12-19</t>
  </si>
  <si>
    <t>258</t>
  </si>
  <si>
    <t>259</t>
  </si>
  <si>
    <t>SF3266238182607</t>
  </si>
  <si>
    <t>260</t>
  </si>
  <si>
    <t>261</t>
  </si>
  <si>
    <t>SF3266238182625</t>
  </si>
  <si>
    <t>262</t>
  </si>
  <si>
    <t>263</t>
  </si>
  <si>
    <t>SF3266238709946</t>
  </si>
  <si>
    <t>264</t>
  </si>
  <si>
    <t>265</t>
  </si>
  <si>
    <t>SF3266273769420</t>
  </si>
  <si>
    <t>8.200</t>
  </si>
  <si>
    <t>59.00</t>
  </si>
  <si>
    <t>金梦海湾便民餐厅</t>
  </si>
  <si>
    <t>266</t>
  </si>
  <si>
    <t>267</t>
  </si>
  <si>
    <t>SF3266932451515</t>
  </si>
  <si>
    <t>268</t>
  </si>
  <si>
    <t>269</t>
  </si>
  <si>
    <t>SF3266932451897</t>
  </si>
  <si>
    <t>270</t>
  </si>
  <si>
    <t>271</t>
  </si>
  <si>
    <t>SF3266932454448</t>
  </si>
  <si>
    <t>272</t>
  </si>
  <si>
    <t>273</t>
  </si>
  <si>
    <t>SF3266932455974</t>
  </si>
  <si>
    <t>274</t>
  </si>
  <si>
    <t>275</t>
  </si>
  <si>
    <t>SF3266932456474</t>
  </si>
  <si>
    <t>276</t>
  </si>
  <si>
    <t>277</t>
  </si>
  <si>
    <t>12-20</t>
  </si>
  <si>
    <t>278</t>
  </si>
  <si>
    <t>279</t>
  </si>
  <si>
    <t>280</t>
  </si>
  <si>
    <t>281</t>
  </si>
  <si>
    <t>SF3266054338598</t>
  </si>
  <si>
    <t>282</t>
  </si>
  <si>
    <t>283</t>
  </si>
  <si>
    <t>SF3266075663547</t>
  </si>
  <si>
    <t>嘉联存货仓发货</t>
  </si>
  <si>
    <t>284</t>
  </si>
  <si>
    <t>285</t>
  </si>
  <si>
    <t>SF3266075663713</t>
  </si>
  <si>
    <t>286</t>
  </si>
  <si>
    <t>287</t>
  </si>
  <si>
    <t>SF3266197122254</t>
  </si>
  <si>
    <t>288</t>
  </si>
  <si>
    <t>SF3266197122263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</si>
  <si>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</si>
  <si>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</si>
  <si>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</si>
  <si>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</si>
  <si>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</si>
  <si>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</si>
  <si>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</si>
  <si>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</si>
  <si>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</si>
  <si>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</si>
  <si>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</si>
  <si>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SF5105657091133</t>
  </si>
  <si>
    <t>6.700</t>
  </si>
  <si>
    <t>300</t>
  </si>
  <si>
    <t>301</t>
  </si>
  <si>
    <t>SF5105657330074</t>
  </si>
  <si>
    <t>302</t>
  </si>
  <si>
    <t>303</t>
  </si>
  <si>
    <t>SF5105657330911</t>
  </si>
  <si>
    <t>304</t>
  </si>
  <si>
    <t>305</t>
  </si>
  <si>
    <t>SF5105660532886</t>
  </si>
  <si>
    <t>306</t>
  </si>
  <si>
    <t>307</t>
  </si>
  <si>
    <t>SF5105660534530</t>
  </si>
  <si>
    <t>308</t>
  </si>
  <si>
    <t>309</t>
  </si>
  <si>
    <t>SF5105660534567</t>
  </si>
  <si>
    <t>310</t>
  </si>
  <si>
    <t>311</t>
  </si>
  <si>
    <t>SF5105690797305</t>
  </si>
  <si>
    <t>312</t>
  </si>
  <si>
    <t>12-21</t>
  </si>
  <si>
    <t>SF3261762960340</t>
  </si>
  <si>
    <t>保定/雄安新区</t>
  </si>
  <si>
    <t>13.000</t>
  </si>
  <si>
    <t>88.00</t>
  </si>
  <si>
    <t>胖哥鸵鸟小镇烧烤铁锅炖</t>
  </si>
  <si>
    <t>313</t>
  </si>
  <si>
    <t>314</t>
  </si>
  <si>
    <t>315</t>
  </si>
  <si>
    <t>SF3266602183406</t>
  </si>
  <si>
    <t>316</t>
  </si>
  <si>
    <t>317</t>
  </si>
  <si>
    <t>SF5105396640503</t>
  </si>
  <si>
    <t>318</t>
  </si>
  <si>
    <t>319</t>
  </si>
  <si>
    <t>SF5105396640521</t>
  </si>
  <si>
    <t>320</t>
  </si>
  <si>
    <t>321</t>
  </si>
  <si>
    <t>322</t>
  </si>
  <si>
    <t>323</t>
  </si>
  <si>
    <t>324</t>
  </si>
  <si>
    <t>12-22</t>
  </si>
  <si>
    <t>325</t>
  </si>
  <si>
    <t>326</t>
  </si>
  <si>
    <t>327</t>
  </si>
  <si>
    <t>SF3266863453181</t>
  </si>
  <si>
    <t>李世云</t>
  </si>
  <si>
    <t>328</t>
  </si>
  <si>
    <t>SF3266892906667</t>
  </si>
  <si>
    <t>5.100</t>
  </si>
  <si>
    <t>汗蒸时代洗浴</t>
  </si>
  <si>
    <t>329</t>
  </si>
  <si>
    <t>330</t>
  </si>
  <si>
    <t>SF5105010030170</t>
  </si>
  <si>
    <t>331</t>
  </si>
  <si>
    <t>332</t>
  </si>
  <si>
    <t>SF5105010407334</t>
  </si>
  <si>
    <t>333</t>
  </si>
  <si>
    <t>334</t>
  </si>
  <si>
    <t>SF5105056503415</t>
  </si>
  <si>
    <t>335</t>
  </si>
  <si>
    <t>SF5105056506251</t>
  </si>
  <si>
    <t>336</t>
  </si>
  <si>
    <t>SF5105173211350</t>
  </si>
  <si>
    <t>337</t>
  </si>
  <si>
    <t>338</t>
  </si>
  <si>
    <t>SF5105173211669</t>
  </si>
  <si>
    <t>339</t>
  </si>
  <si>
    <t>340</t>
  </si>
  <si>
    <t>SF5105173489237</t>
  </si>
  <si>
    <t>2.000</t>
  </si>
  <si>
    <t>341</t>
  </si>
  <si>
    <t>342</t>
  </si>
  <si>
    <t>12-23</t>
  </si>
  <si>
    <t>SF3266726759704</t>
  </si>
  <si>
    <t>嘉嘉电</t>
  </si>
  <si>
    <t>魅KTV·AI辅唱(后浪新天地店)</t>
  </si>
  <si>
    <t>343</t>
  </si>
  <si>
    <t>344</t>
  </si>
  <si>
    <t>345</t>
  </si>
  <si>
    <t>346</t>
  </si>
  <si>
    <t>347</t>
  </si>
  <si>
    <t>348</t>
  </si>
  <si>
    <t>349</t>
  </si>
  <si>
    <t>12-24</t>
  </si>
  <si>
    <t>SF3266463124493</t>
  </si>
  <si>
    <t>350</t>
  </si>
  <si>
    <t>351</t>
  </si>
  <si>
    <t>SF3266463124793</t>
  </si>
  <si>
    <t>352</t>
  </si>
  <si>
    <t>353</t>
  </si>
  <si>
    <t>SF3266463665558</t>
  </si>
  <si>
    <t>354</t>
  </si>
  <si>
    <t>355</t>
  </si>
  <si>
    <t>SF3266482135775</t>
  </si>
  <si>
    <t>大连</t>
  </si>
  <si>
    <t>唐先生</t>
  </si>
  <si>
    <t>周玉红</t>
  </si>
  <si>
    <t>356</t>
  </si>
  <si>
    <t>357</t>
  </si>
  <si>
    <t>SF3266482137729</t>
  </si>
  <si>
    <t>358</t>
  </si>
  <si>
    <t>359</t>
  </si>
  <si>
    <t>360</t>
  </si>
  <si>
    <t>361</t>
  </si>
  <si>
    <t>362</t>
  </si>
  <si>
    <t>363</t>
  </si>
  <si>
    <t>SF5105265169872</t>
  </si>
  <si>
    <t>364</t>
  </si>
  <si>
    <t>5.50</t>
  </si>
  <si>
    <t>365</t>
  </si>
  <si>
    <t>SF5105265388697</t>
  </si>
  <si>
    <t>366</t>
  </si>
  <si>
    <t>367</t>
  </si>
  <si>
    <t>12-25</t>
  </si>
  <si>
    <t>368</t>
  </si>
  <si>
    <t>369</t>
  </si>
  <si>
    <t>370</t>
  </si>
  <si>
    <t>12-26</t>
  </si>
  <si>
    <t>SF3268270973716</t>
  </si>
  <si>
    <t>孙浩特色牛杂面板面</t>
  </si>
  <si>
    <t>371</t>
  </si>
  <si>
    <t>372</t>
  </si>
  <si>
    <t>SF3268275983233</t>
  </si>
  <si>
    <t>373</t>
  </si>
  <si>
    <t>374</t>
  </si>
  <si>
    <t>SF3268275983358</t>
  </si>
  <si>
    <t>375</t>
  </si>
  <si>
    <t>376</t>
  </si>
  <si>
    <t>SF3268277986250</t>
  </si>
  <si>
    <t>377</t>
  </si>
  <si>
    <t>378</t>
  </si>
  <si>
    <t>SF3268938193753</t>
  </si>
  <si>
    <t>379</t>
  </si>
  <si>
    <t>380</t>
  </si>
  <si>
    <t>SF5105887343533</t>
  </si>
  <si>
    <t>广州</t>
  </si>
  <si>
    <t>381</t>
  </si>
  <si>
    <t>382</t>
  </si>
  <si>
    <t>SF5105887607240</t>
  </si>
  <si>
    <t>383</t>
  </si>
  <si>
    <t>384</t>
  </si>
  <si>
    <t>SF5105887607286</t>
  </si>
  <si>
    <t>385</t>
  </si>
  <si>
    <t>386</t>
  </si>
  <si>
    <t>SF5106531594533</t>
  </si>
  <si>
    <t>3.100</t>
  </si>
  <si>
    <t>387</t>
  </si>
  <si>
    <t>388</t>
  </si>
  <si>
    <t>SF5106533894875</t>
  </si>
  <si>
    <t>389</t>
  </si>
  <si>
    <t>390</t>
  </si>
  <si>
    <t>SF5106557446946</t>
  </si>
  <si>
    <t>391</t>
  </si>
  <si>
    <t>392</t>
  </si>
  <si>
    <t>SF5106557446982</t>
  </si>
  <si>
    <t>393</t>
  </si>
  <si>
    <t>394</t>
  </si>
  <si>
    <t>12-27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</si>
  <si>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</si>
  <si>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</si>
  <si>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</si>
  <si>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</si>
  <si>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</si>
  <si>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</si>
  <si>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</si>
  <si>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</si>
  <si>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</si>
  <si>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12-29</t>
  </si>
  <si>
    <t>SF3268640105742</t>
  </si>
  <si>
    <t>404</t>
  </si>
  <si>
    <t>SF3268640416024</t>
  </si>
  <si>
    <t>405</t>
  </si>
  <si>
    <t>406</t>
  </si>
  <si>
    <t>SF3268640954282</t>
  </si>
  <si>
    <t>407</t>
  </si>
  <si>
    <t>SF3268641154808</t>
  </si>
  <si>
    <t>408</t>
  </si>
  <si>
    <t>409</t>
  </si>
  <si>
    <t>SF3268641340217</t>
  </si>
  <si>
    <t>6.800</t>
  </si>
  <si>
    <t>410</t>
  </si>
  <si>
    <t>411</t>
  </si>
  <si>
    <t>SF3268642706160</t>
  </si>
  <si>
    <t>11.000</t>
  </si>
  <si>
    <t>21.00</t>
  </si>
  <si>
    <t>412</t>
  </si>
  <si>
    <t>413</t>
  </si>
  <si>
    <t>SF3268649501419</t>
  </si>
  <si>
    <t>414</t>
  </si>
  <si>
    <t>415</t>
  </si>
  <si>
    <t>SF3268649653701</t>
  </si>
  <si>
    <t>9.900</t>
  </si>
  <si>
    <t>30.00</t>
  </si>
  <si>
    <t>416</t>
  </si>
  <si>
    <t>8.00</t>
  </si>
  <si>
    <t>417</t>
  </si>
  <si>
    <t>SF3268649653710</t>
  </si>
  <si>
    <t>418</t>
  </si>
  <si>
    <t>419</t>
  </si>
  <si>
    <t>SF3268857235281</t>
  </si>
  <si>
    <t>泸州</t>
  </si>
  <si>
    <t>钱诗义</t>
  </si>
  <si>
    <t>420</t>
  </si>
  <si>
    <t>421</t>
  </si>
  <si>
    <t>SF3268857237271</t>
  </si>
  <si>
    <t>422</t>
  </si>
  <si>
    <t>423</t>
  </si>
  <si>
    <t>SF3268857238114</t>
  </si>
  <si>
    <t>424</t>
  </si>
  <si>
    <t>425</t>
  </si>
  <si>
    <t>SF3268857238141</t>
  </si>
  <si>
    <t>426</t>
  </si>
  <si>
    <t>427</t>
  </si>
  <si>
    <t>SF3268857238618</t>
  </si>
  <si>
    <t>428</t>
  </si>
  <si>
    <t>SF5106055396564</t>
  </si>
  <si>
    <t>2.700</t>
  </si>
  <si>
    <t>429</t>
  </si>
  <si>
    <t>430</t>
  </si>
  <si>
    <t>SF5106055772013</t>
  </si>
  <si>
    <t>431</t>
  </si>
  <si>
    <t>432</t>
  </si>
  <si>
    <t>SF5106055772095</t>
  </si>
  <si>
    <t>433</t>
  </si>
  <si>
    <t>434</t>
  </si>
  <si>
    <t>SF5106096472069</t>
  </si>
  <si>
    <t>435</t>
  </si>
  <si>
    <t>436</t>
  </si>
  <si>
    <t>SF5106096472184</t>
  </si>
  <si>
    <t>437</t>
  </si>
  <si>
    <t>438</t>
  </si>
  <si>
    <t>SF5106096474396</t>
  </si>
  <si>
    <t>439</t>
  </si>
  <si>
    <t>440</t>
  </si>
  <si>
    <t>SF5106184196433</t>
  </si>
  <si>
    <t>441</t>
  </si>
  <si>
    <t>442</t>
  </si>
  <si>
    <t>SF5106184196451</t>
  </si>
  <si>
    <t>443</t>
  </si>
  <si>
    <t>444</t>
  </si>
  <si>
    <t>SF5106184982867</t>
  </si>
  <si>
    <t>445</t>
  </si>
  <si>
    <t>446</t>
  </si>
  <si>
    <t>SF5106188210316</t>
  </si>
  <si>
    <t>447</t>
  </si>
  <si>
    <t>448</t>
  </si>
  <si>
    <t>12-30</t>
  </si>
  <si>
    <t>SF3268572592828</t>
  </si>
  <si>
    <t>唐宪满</t>
  </si>
  <si>
    <t>孙宏达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</si>
  <si>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</si>
  <si>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</si>
  <si>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</si>
  <si>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</si>
  <si>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</si>
  <si>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</si>
  <si>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</si>
  <si>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</si>
  <si>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</si>
  <si>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</si>
  <si>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</si>
  <si>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</si>
  <si>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</si>
  <si>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</si>
  <si>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</si>
  <si>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</si>
  <si>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</si>
  <si>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</si>
  <si>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</si>
  <si>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</si>
  <si>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</si>
  <si>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</si>
  <si>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</si>
  <si>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SF5106905084308</t>
  </si>
  <si>
    <t>472</t>
  </si>
  <si>
    <t>473</t>
  </si>
  <si>
    <t>SF5106905958549</t>
  </si>
  <si>
    <t>474</t>
  </si>
  <si>
    <t>475</t>
  </si>
  <si>
    <t>SF5106970083922</t>
  </si>
  <si>
    <t>476</t>
  </si>
  <si>
    <t>477</t>
  </si>
  <si>
    <t>SF5106970144442</t>
  </si>
  <si>
    <t>478</t>
  </si>
  <si>
    <t>479</t>
  </si>
  <si>
    <t>SF5106970421620</t>
  </si>
  <si>
    <t>480</t>
  </si>
  <si>
    <t>SF5127707134034</t>
  </si>
  <si>
    <t>481</t>
  </si>
  <si>
    <t>482</t>
  </si>
  <si>
    <t>SF5127722066632</t>
  </si>
  <si>
    <t>483</t>
  </si>
  <si>
    <t>484</t>
  </si>
  <si>
    <t>SF5127722204781</t>
  </si>
  <si>
    <t>立充充电宝取机柜-物流服务</t>
  </si>
  <si>
    <t>186****6788</t>
  </si>
  <si>
    <t>485</t>
  </si>
  <si>
    <t>486</t>
  </si>
  <si>
    <t>SF5127722665550</t>
  </si>
  <si>
    <t>487</t>
  </si>
  <si>
    <t>12-31</t>
  </si>
  <si>
    <t>488</t>
  </si>
  <si>
    <t>489</t>
  </si>
  <si>
    <t>SF3268714509952</t>
  </si>
  <si>
    <t>490</t>
  </si>
  <si>
    <t>491</t>
  </si>
  <si>
    <t>SF3268714724220</t>
  </si>
  <si>
    <t>492</t>
  </si>
  <si>
    <t>493</t>
  </si>
  <si>
    <t>494</t>
  </si>
  <si>
    <t>495</t>
  </si>
  <si>
    <t>SF5127754205822</t>
  </si>
  <si>
    <t>496</t>
  </si>
  <si>
    <t>497</t>
  </si>
  <si>
    <t>SF5127766316133</t>
  </si>
  <si>
    <t>大连浩源满航空服务有限公司</t>
  </si>
  <si>
    <t>刘志强</t>
  </si>
  <si>
    <t>498</t>
  </si>
  <si>
    <t>合 计</t>
  </si>
  <si>
    <t>4210.50</t>
  </si>
  <si>
    <t/>
  </si>
  <si>
    <r>
      <t>客户</t>
    </r>
    <r>
      <rPr>
        <b/>
        <sz val="18"/>
        <rFont val="Calibri"/>
        <charset val="134"/>
      </rPr>
      <t>12</t>
    </r>
    <r>
      <rPr>
        <b/>
        <sz val="18"/>
        <rFont val="宋体"/>
        <charset val="134"/>
      </rPr>
      <t>月结总览</t>
    </r>
  </si>
  <si>
    <t>客户名称:</t>
  </si>
  <si>
    <t>顺丰对账人:</t>
  </si>
  <si>
    <t>丰晓易</t>
  </si>
  <si>
    <t>月结卡号:</t>
  </si>
  <si>
    <t>7551083218</t>
  </si>
  <si>
    <t>对账热线:</t>
  </si>
  <si>
    <t>4001095338</t>
  </si>
  <si>
    <t>账单周期:</t>
  </si>
  <si>
    <t>20251201-20251231</t>
  </si>
  <si>
    <t>联系邮箱:</t>
  </si>
  <si>
    <t>sfcscs@sf-express.com</t>
  </si>
  <si>
    <t>最晚汇款日:</t>
  </si>
  <si>
    <t>2026-01-31</t>
  </si>
  <si>
    <t>服务时间:</t>
  </si>
  <si>
    <t>工作日周一至周五9:00-17:30</t>
  </si>
  <si>
    <t>本期应付总额:</t>
  </si>
  <si>
    <t>¥4,210.50</t>
  </si>
  <si>
    <t>本期应付金额：</t>
  </si>
  <si>
    <t>月结券抵扣:</t>
  </si>
  <si>
    <t>¥0.00</t>
  </si>
  <si>
    <t>费用类型</t>
  </si>
  <si>
    <t>费用</t>
  </si>
  <si>
    <t>速运费用</t>
  </si>
  <si>
    <t>小计</t>
  </si>
  <si>
    <t>对公账户信息</t>
  </si>
  <si>
    <t>速运公司</t>
  </si>
  <si>
    <t>公司名称:</t>
  </si>
  <si>
    <t>顺丰速运有限公司</t>
  </si>
  <si>
    <t>银行名称:</t>
  </si>
  <si>
    <t>中国工商银行股份有限公司前海分行</t>
  </si>
  <si>
    <t>银行账号:</t>
  </si>
  <si>
    <t>4000025319200395130</t>
  </si>
  <si>
    <t>客户经理联系信息</t>
  </si>
  <si>
    <t>联系人:</t>
  </si>
  <si>
    <t>李先亮</t>
  </si>
  <si>
    <t>联系电话:</t>
  </si>
  <si>
    <t>18823870296</t>
  </si>
  <si>
    <t>1月快递运单费用</t>
  </si>
  <si>
    <t>01-01</t>
  </si>
  <si>
    <t>取宝-物流服务</t>
  </si>
  <si>
    <t>01-04</t>
  </si>
  <si>
    <t>SF5106805081938</t>
  </si>
  <si>
    <t>SF5106805988745</t>
  </si>
  <si>
    <t>SF5106821124886</t>
  </si>
  <si>
    <t>长安波仕音乐量贩KTV(乌沙店)</t>
  </si>
  <si>
    <t>SF5106834884492</t>
  </si>
  <si>
    <t>清溪小田湘·湖南土菜馆</t>
  </si>
  <si>
    <t>SF5127617611694</t>
  </si>
  <si>
    <t>01-05</t>
  </si>
  <si>
    <t>01-06</t>
  </si>
  <si>
    <t>01-07</t>
  </si>
  <si>
    <t>SF5103369030090</t>
  </si>
  <si>
    <t>刘诗雨</t>
  </si>
  <si>
    <t>本部</t>
  </si>
  <si>
    <t>01-09</t>
  </si>
  <si>
    <t>SF3265855044685</t>
  </si>
  <si>
    <t>3.500</t>
  </si>
  <si>
    <t>SF3265863387051</t>
  </si>
  <si>
    <t>SF5103182724031</t>
  </si>
  <si>
    <t>SF5127575538745</t>
  </si>
  <si>
    <t>SF5127597048630</t>
  </si>
  <si>
    <t>9.700</t>
  </si>
  <si>
    <t>01-10</t>
  </si>
  <si>
    <t>01-16</t>
  </si>
  <si>
    <t>SF3267130908673</t>
  </si>
  <si>
    <t>金华</t>
  </si>
  <si>
    <t>甘骞</t>
  </si>
  <si>
    <t>魅KTV</t>
  </si>
  <si>
    <t>01-17</t>
  </si>
  <si>
    <t>298.00</t>
  </si>
  <si>
    <r>
      <t>客户</t>
    </r>
    <r>
      <rPr>
        <b/>
        <sz val="18"/>
        <rFont val="Calibri"/>
        <charset val="134"/>
      </rPr>
      <t>1</t>
    </r>
    <r>
      <rPr>
        <b/>
        <sz val="18"/>
        <rFont val="宋体"/>
        <charset val="134"/>
      </rPr>
      <t>月结总览</t>
    </r>
  </si>
  <si>
    <t>20260101-20260131</t>
  </si>
  <si>
    <t>2026-02-28</t>
  </si>
  <si>
    <t>¥298.00</t>
  </si>
  <si>
    <t>刘剑</t>
  </si>
  <si>
    <t>18676798627</t>
  </si>
  <si>
    <t>温馨提示：</t>
  </si>
  <si>
    <t>◆若您的账单地址、电邮地址等联系方式发生变化，为确保您能准确无误的收到账单，您可访问微信公众号“顺丰速运</t>
  </si>
  <si>
    <t>月结服务”，及时更新您的信息。</t>
  </si>
  <si>
    <t>◆您可通过银行转账、微信、支付宝等方式直接支付到我司账户，请勿将资金以现金或其他方式交付给我司员工个人账</t>
  </si>
  <si>
    <t>户。如因支付给我司员工个人 账户造成的纠纷，我司不承担相关责任。</t>
  </si>
  <si>
    <t>◆若您使用了我司国际件免税（增值税）产品服务需开具发票，请特别注意该服务发票开具主体为广东顺丰电子商务有</t>
  </si>
  <si>
    <t>限公司，发票类型为普通发票；但您的款项请支付至上方所列公司及账号。</t>
  </si>
  <si>
    <t>◆免税产品：顺丰国际电商专递、顺丰国际小包挂号、顺丰国际小包平邮、国际海运、国际重货-港到港、国际铁路整</t>
  </si>
  <si>
    <t>柜、国际铁路散货、国际重货-陆运、国际重货-海外仓空+派、国际重货-海外仓海+派、国际重货-海外仓铁+派、国际仓</t>
  </si>
  <si>
    <t>储、国际填舱。</t>
  </si>
  <si>
    <t>◆我司自2019年4月开始向中国内地始发的国际标快+、国际标快、国际特惠产品收取燃油附加费， https://www.sf-express</t>
  </si>
  <si>
    <t>.com/chn/sc/support-more/international_fuel_surcharge_introduction查看当月燃油费率及计算方法。</t>
  </si>
  <si>
    <t>◆若您的账单中运单“费用（元）”栏为“0”，但“应付金额”栏不为“0”，请您核对数据时，与运单实际月份账单</t>
  </si>
  <si>
    <t>一起核对最终应付金额。</t>
  </si>
  <si>
    <t>◆若贵司需变更开票信息或对账单内容有疑问，请联系顺丰对账联系人。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</si>
</sst>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b/>
      <sz val="9"/>
      <color indexed="9"/>
      <name val="Calibri"/>
      <charset val="134"/>
    </font>
    <font>
      <b/>
      <sz val="9"/>
      <color rgb="FFFFFFFF"/>
      <name val="宋体"/>
      <charset val="134"/>
    </font>
    <font>
      <sz val="9"/>
      <color rgb="FFFFFFFF"/>
      <name val="宋体"/>
      <charset val="134"/>
      <scheme val="minor"/>
    </font>
    <font>
      <sz val="9"/>
      <name val="Calibri"/>
      <charset val="134"/>
    </font>
    <font>
      <sz val="10"/>
      <color rgb="FF000000"/>
      <name val="Microsoft YaHei"/>
      <charset val="134"/>
    </font>
    <font>
      <sz val="12"/>
      <color theme="1"/>
      <name val="宋体"/>
      <charset val="134"/>
      <scheme val="minor"/>
    </font>
    <font>
      <b/>
      <sz val="18"/>
      <name val="宋体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2"/>
      <color rgb="FFC00000"/>
      <name val="Calibri"/>
      <charset val="134"/>
    </font>
    <font>
      <b/>
      <sz val="11"/>
      <color indexed="9"/>
      <name val="Calibri"/>
      <charset val="134"/>
    </font>
    <font>
      <sz val="10"/>
      <name val="Calibr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5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6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/>
    <xf numFmtId="0" fontId="1" fillId="0" borderId="5" xfId="0" applyNumberFormat="1" applyFont="1" applyFill="1" applyBorder="1" applyAlignment="1"/>
    <xf numFmtId="0" fontId="9" fillId="0" borderId="6" xfId="0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/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3" fillId="2" borderId="8" xfId="0" applyFont="1" applyFill="1" applyBorder="1" applyAlignment="1">
      <alignment horizontal="left" vertical="center"/>
    </xf>
    <xf numFmtId="0" fontId="1" fillId="0" borderId="9" xfId="0" applyNumberFormat="1" applyFont="1" applyFill="1" applyBorder="1" applyAlignment="1"/>
    <xf numFmtId="0" fontId="13" fillId="2" borderId="8" xfId="0" applyFont="1" applyFill="1" applyBorder="1" applyAlignment="1">
      <alignment horizontal="right" vertical="center"/>
    </xf>
    <xf numFmtId="0" fontId="10" fillId="0" borderId="10" xfId="0" applyFont="1" applyFill="1" applyBorder="1" applyAlignment="1">
      <alignment horizontal="left" vertical="center"/>
    </xf>
    <xf numFmtId="0" fontId="1" fillId="0" borderId="11" xfId="0" applyNumberFormat="1" applyFont="1" applyFill="1" applyBorder="1" applyAlignment="1"/>
    <xf numFmtId="4" fontId="10" fillId="0" borderId="10" xfId="0" applyNumberFormat="1" applyFont="1" applyFill="1" applyBorder="1" applyAlignment="1">
      <alignment horizontal="right" vertical="center"/>
    </xf>
    <xf numFmtId="4" fontId="13" fillId="2" borderId="8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504</xdr:row>
      <xdr:rowOff>40000</xdr:rowOff>
    </xdr:from>
    <xdr:to>
      <xdr:col>11</xdr:col>
      <xdr:colOff>453712</xdr:colOff>
      <xdr:row>506</xdr:row>
      <xdr:rowOff>144987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07780" y="92287090"/>
          <a:ext cx="453390" cy="49022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512</xdr:row>
      <xdr:rowOff>0</xdr:rowOff>
    </xdr:from>
    <xdr:to>
      <xdr:col>9</xdr:col>
      <xdr:colOff>322258</xdr:colOff>
      <xdr:row>517</xdr:row>
      <xdr:rowOff>180975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63740" y="93748860"/>
          <a:ext cx="992505" cy="1110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41</xdr:row>
      <xdr:rowOff>40000</xdr:rowOff>
    </xdr:from>
    <xdr:to>
      <xdr:col>11</xdr:col>
      <xdr:colOff>453712</xdr:colOff>
      <xdr:row>43</xdr:row>
      <xdr:rowOff>144987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69480" y="7842250"/>
          <a:ext cx="453390" cy="49022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9</xdr:col>
      <xdr:colOff>322258</xdr:colOff>
      <xdr:row>54</xdr:row>
      <xdr:rowOff>180975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7820" y="9304020"/>
          <a:ext cx="939165" cy="11106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ngchuwei\Documents\WXWork\1688854550727673\Cache\File\2026-01\&#39034;&#20016;12&#26376;&#35746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gchuwei\Desktop\&#39034;&#20016;1&#26376;&#35746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总览"/>
      <sheetName val="账单明细"/>
      <sheetName val="月结报告"/>
      <sheetName val="12月订单明细"/>
      <sheetName val="Sheet2"/>
      <sheetName val="Sheet3"/>
      <sheetName val="Sheet5"/>
    </sheetNames>
    <sheetDataSet>
      <sheetData sheetId="0"/>
      <sheetData sheetId="1"/>
      <sheetData sheetId="2"/>
      <sheetData sheetId="3"/>
      <sheetData sheetId="4">
        <row r="1">
          <cell r="A1" t="str">
            <v>运单号</v>
          </cell>
          <cell r="B1" t="str">
            <v>任务类型</v>
          </cell>
          <cell r="C1" t="str">
            <v>收件手机</v>
          </cell>
        </row>
        <row r="1">
          <cell r="G1" t="str">
            <v>运单号</v>
          </cell>
          <cell r="H1" t="str">
            <v>下单账号</v>
          </cell>
        </row>
        <row r="2">
          <cell r="A2" t="str">
            <v>SF3268579296831</v>
          </cell>
          <cell r="B2" t="str">
            <v>补宝-物流服务</v>
          </cell>
          <cell r="C2" t="str">
            <v>155****0885‎‎‎‬‬‬</v>
          </cell>
        </row>
        <row r="2">
          <cell r="G2" t="str">
            <v>SF3268579296831</v>
          </cell>
          <cell r="H2" t="str">
            <v>155****0885</v>
          </cell>
        </row>
        <row r="3">
          <cell r="A3" t="str">
            <v>SF3268579291750</v>
          </cell>
          <cell r="B3" t="str">
            <v>补宝-物流服务</v>
          </cell>
          <cell r="C3" t="str">
            <v>155****0885‎‎‎‬‬‬</v>
          </cell>
        </row>
        <row r="3">
          <cell r="G3" t="str">
            <v>SF3268579291750</v>
          </cell>
          <cell r="H3" t="str">
            <v>155****0885</v>
          </cell>
        </row>
        <row r="4">
          <cell r="A4" t="str">
            <v>SF5127709690867</v>
          </cell>
          <cell r="B4" t="str">
            <v>补宝-物流服务</v>
          </cell>
          <cell r="C4" t="str">
            <v>155****0885‎‎‎‬‬‬</v>
          </cell>
        </row>
        <row r="4">
          <cell r="G4" t="str">
            <v>SF5127709690867</v>
          </cell>
          <cell r="H4" t="str">
            <v>155****0885</v>
          </cell>
        </row>
        <row r="5">
          <cell r="A5" t="str">
            <v>SF5106905852824</v>
          </cell>
          <cell r="B5" t="str">
            <v>补宝-物流服务</v>
          </cell>
          <cell r="C5" t="str">
            <v>155****0885‎‎‎‬‬‬</v>
          </cell>
        </row>
        <row r="5">
          <cell r="G5" t="str">
            <v>SF5106905852824</v>
          </cell>
          <cell r="H5" t="str">
            <v>155****0885</v>
          </cell>
        </row>
        <row r="6">
          <cell r="A6" t="str">
            <v>SF5105056503415</v>
          </cell>
          <cell r="B6" t="str">
            <v>补宝-物流服务</v>
          </cell>
          <cell r="C6" t="str">
            <v>181****7580‎‎‎‬‬‬</v>
          </cell>
        </row>
        <row r="6">
          <cell r="G6" t="str">
            <v>SF5105056503415</v>
          </cell>
          <cell r="H6" t="str">
            <v>134****6101</v>
          </cell>
        </row>
        <row r="7">
          <cell r="A7" t="str">
            <v>SF5105056506251</v>
          </cell>
          <cell r="B7" t="str">
            <v>补宝-物流服务</v>
          </cell>
          <cell r="C7" t="str">
            <v>181****7580‎‎‎‬‬‬</v>
          </cell>
        </row>
        <row r="7">
          <cell r="G7" t="str">
            <v>SF5105056506251</v>
          </cell>
          <cell r="H7" t="str">
            <v>134****6101</v>
          </cell>
        </row>
        <row r="8">
          <cell r="A8" t="str">
            <v>SF3266863453181</v>
          </cell>
          <cell r="B8" t="str">
            <v>补宝-物流服务</v>
          </cell>
          <cell r="C8" t="str">
            <v>181****7580‎‎‎‬‬‬</v>
          </cell>
        </row>
        <row r="8">
          <cell r="G8" t="str">
            <v>SF3266863453181</v>
          </cell>
          <cell r="H8" t="str">
            <v>134****6101</v>
          </cell>
        </row>
        <row r="9">
          <cell r="A9" t="str">
            <v>SF3261464758524</v>
          </cell>
          <cell r="B9" t="str">
            <v>补宝-物流服务</v>
          </cell>
          <cell r="C9" t="str">
            <v>186****6788‎‎‎‬‬‬</v>
          </cell>
        </row>
        <row r="9">
          <cell r="G9" t="str">
            <v>SF3261464758524</v>
          </cell>
          <cell r="H9" t="str">
            <v>186****6788</v>
          </cell>
        </row>
        <row r="10">
          <cell r="A10" t="str">
            <v>SF3261464758781</v>
          </cell>
          <cell r="B10" t="str">
            <v>补宝-物流服务</v>
          </cell>
          <cell r="C10" t="str">
            <v>186****6788‎‎‎‬‬‬</v>
          </cell>
        </row>
        <row r="10">
          <cell r="G10" t="str">
            <v>SF3261464758781</v>
          </cell>
          <cell r="H10" t="str">
            <v>186****6788</v>
          </cell>
        </row>
        <row r="11">
          <cell r="A11" t="str">
            <v>SF3261417303446</v>
          </cell>
          <cell r="B11" t="str">
            <v>补宝-物流服务</v>
          </cell>
          <cell r="C11" t="str">
            <v>152****5518‎‎‎‬‬‬</v>
          </cell>
        </row>
        <row r="11">
          <cell r="G11" t="str">
            <v>SF3261417303446</v>
          </cell>
          <cell r="H11" t="str">
            <v>134****6101</v>
          </cell>
        </row>
        <row r="12">
          <cell r="A12" t="str">
            <v>SF3261417303058</v>
          </cell>
          <cell r="B12" t="str">
            <v>补宝-物流服务</v>
          </cell>
          <cell r="C12" t="str">
            <v>152****5518‎‎‎‬‬‬</v>
          </cell>
        </row>
        <row r="12">
          <cell r="G12" t="str">
            <v>SF3261417303058</v>
          </cell>
          <cell r="H12" t="str">
            <v>134****6101</v>
          </cell>
        </row>
        <row r="13">
          <cell r="A13" t="str">
            <v>SF3261282600597</v>
          </cell>
          <cell r="B13" t="str">
            <v>补宝-物流服务</v>
          </cell>
          <cell r="C13" t="str">
            <v>135****7686‎‎‎‬‬‬</v>
          </cell>
        </row>
        <row r="13">
          <cell r="G13" t="str">
            <v>SF3261282600597</v>
          </cell>
          <cell r="H13" t="str">
            <v>134****6101</v>
          </cell>
        </row>
        <row r="14">
          <cell r="A14" t="str">
            <v>SF3260491849334</v>
          </cell>
          <cell r="B14" t="str">
            <v>补宝-物流服务</v>
          </cell>
          <cell r="C14" t="str">
            <v>158****0900‎‎‎‬‬‬</v>
          </cell>
        </row>
        <row r="14">
          <cell r="G14" t="str">
            <v>SF3260491849334</v>
          </cell>
          <cell r="H14" t="str">
            <v>134****6101</v>
          </cell>
        </row>
        <row r="15">
          <cell r="A15" t="str">
            <v>SF3260491849237</v>
          </cell>
          <cell r="B15" t="str">
            <v>补宝-物流服务</v>
          </cell>
          <cell r="C15" t="str">
            <v>158****0900‎‎‎‬‬‬</v>
          </cell>
        </row>
        <row r="15">
          <cell r="G15" t="str">
            <v>SF3260491849237</v>
          </cell>
          <cell r="H15" t="str">
            <v>134****6101</v>
          </cell>
        </row>
        <row r="16">
          <cell r="A16" t="str">
            <v>SF3260420814593</v>
          </cell>
          <cell r="B16" t="str">
            <v>补宝-物流服务</v>
          </cell>
          <cell r="C16" t="str">
            <v/>
          </cell>
        </row>
        <row r="16">
          <cell r="G16" t="str">
            <v>SF3260420814593</v>
          </cell>
          <cell r="H16" t="str">
            <v>136****7868</v>
          </cell>
        </row>
        <row r="17">
          <cell r="A17" t="str">
            <v>SF3260499115096</v>
          </cell>
          <cell r="B17" t="str">
            <v>补宝-物流服务</v>
          </cell>
          <cell r="C17" t="str">
            <v>186****8030‎‎‎‬‬‬</v>
          </cell>
        </row>
        <row r="17">
          <cell r="G17" t="str">
            <v>SF3260499115096</v>
          </cell>
          <cell r="H17" t="str">
            <v>134****6101</v>
          </cell>
        </row>
        <row r="18">
          <cell r="A18" t="str">
            <v>SF3260499115906</v>
          </cell>
          <cell r="B18" t="str">
            <v>补宝-物流服务</v>
          </cell>
          <cell r="C18" t="str">
            <v>186****8030‎‎‎‬‬‬</v>
          </cell>
        </row>
        <row r="18">
          <cell r="G18" t="str">
            <v>SF3260499115906</v>
          </cell>
          <cell r="H18" t="str">
            <v>134****6101</v>
          </cell>
        </row>
        <row r="19">
          <cell r="A19" t="str">
            <v>SF3278405753506</v>
          </cell>
          <cell r="B19" t="str">
            <v>补宝-物流服务</v>
          </cell>
          <cell r="C19" t="str">
            <v>186****6788‎‎‎‬‬‬</v>
          </cell>
        </row>
        <row r="19">
          <cell r="G19" t="str">
            <v>SF3278405753506</v>
          </cell>
          <cell r="H19" t="str">
            <v>186****6788</v>
          </cell>
        </row>
        <row r="20">
          <cell r="A20" t="str">
            <v>SF3278434363447</v>
          </cell>
          <cell r="B20" t="str">
            <v>补宝-物流服务</v>
          </cell>
          <cell r="C20" t="str">
            <v>186****6788‎‎‎‬‬‬</v>
          </cell>
        </row>
        <row r="20">
          <cell r="G20" t="str">
            <v>SF3278434363447</v>
          </cell>
          <cell r="H20" t="str">
            <v>186****6788</v>
          </cell>
        </row>
        <row r="21">
          <cell r="A21" t="str">
            <v>SF3278434363483</v>
          </cell>
          <cell r="B21" t="str">
            <v>补宝-物流服务</v>
          </cell>
          <cell r="C21" t="str">
            <v>186****6788‎‎‎‬‬‬</v>
          </cell>
        </row>
        <row r="21">
          <cell r="G21" t="str">
            <v>SF3278434363483</v>
          </cell>
          <cell r="H21" t="str">
            <v>186****6788</v>
          </cell>
        </row>
        <row r="22">
          <cell r="A22" t="str">
            <v>SF3269834853653</v>
          </cell>
          <cell r="B22" t="str">
            <v>补宝-物流服务</v>
          </cell>
          <cell r="C22" t="str">
            <v>186****6788‎‎‎‬‬‬</v>
          </cell>
        </row>
        <row r="22">
          <cell r="G22" t="str">
            <v>SF3269834853653</v>
          </cell>
          <cell r="H22" t="str">
            <v>186****6788</v>
          </cell>
        </row>
        <row r="23">
          <cell r="A23" t="str">
            <v>SF3269042397254</v>
          </cell>
          <cell r="B23" t="str">
            <v>补宝-物流服务</v>
          </cell>
          <cell r="C23" t="str">
            <v>181****6669‎‎‎‬‬‬</v>
          </cell>
        </row>
        <row r="23">
          <cell r="G23" t="str">
            <v>SF3269042397254</v>
          </cell>
          <cell r="H23" t="str">
            <v>130****4667</v>
          </cell>
        </row>
        <row r="24">
          <cell r="A24" t="str">
            <v>SF3269933113650</v>
          </cell>
          <cell r="B24" t="str">
            <v>补宝-物流服务</v>
          </cell>
          <cell r="C24" t="str">
            <v>186****6788‎‎‎‬‬‬</v>
          </cell>
        </row>
        <row r="24">
          <cell r="G24" t="str">
            <v>SF3269933113650</v>
          </cell>
          <cell r="H24" t="str">
            <v>186****6788</v>
          </cell>
        </row>
        <row r="25">
          <cell r="A25" t="str">
            <v>SF3278126546304</v>
          </cell>
          <cell r="B25" t="str">
            <v>补宝-物流服务</v>
          </cell>
          <cell r="C25" t="str">
            <v>186****6788‎‎‎‬‬‬</v>
          </cell>
        </row>
        <row r="25">
          <cell r="G25" t="str">
            <v>SF3278126546304</v>
          </cell>
          <cell r="H25" t="str">
            <v>186****6788</v>
          </cell>
        </row>
        <row r="26">
          <cell r="A26" t="str">
            <v>SF3269248082701</v>
          </cell>
          <cell r="B26" t="str">
            <v>补宝-物流服务</v>
          </cell>
          <cell r="C26" t="str">
            <v>186****6788‎‎‎‬‬‬</v>
          </cell>
        </row>
        <row r="26">
          <cell r="G26" t="str">
            <v>SF3269248082701</v>
          </cell>
          <cell r="H26" t="str">
            <v>186****6788</v>
          </cell>
        </row>
        <row r="27">
          <cell r="A27" t="str">
            <v>SF3269246608556</v>
          </cell>
          <cell r="B27" t="str">
            <v>补宝-物流服务</v>
          </cell>
          <cell r="C27" t="str">
            <v>186****6788‎‎‎‬‬‬</v>
          </cell>
        </row>
        <row r="27">
          <cell r="G27" t="str">
            <v>SF3269246608556</v>
          </cell>
          <cell r="H27" t="str">
            <v>186****6788</v>
          </cell>
        </row>
        <row r="28">
          <cell r="A28" t="str">
            <v>SF3278179778744</v>
          </cell>
          <cell r="B28" t="str">
            <v>补宝-物流服务</v>
          </cell>
          <cell r="C28" t="str">
            <v>186****6788‎‎‎‬‬‬</v>
          </cell>
        </row>
        <row r="28">
          <cell r="G28" t="str">
            <v>SF3278179778744</v>
          </cell>
          <cell r="H28" t="str">
            <v>186****6788</v>
          </cell>
        </row>
        <row r="29">
          <cell r="A29" t="str">
            <v>SF3269241885700</v>
          </cell>
          <cell r="B29" t="str">
            <v>补宝-物流服务</v>
          </cell>
          <cell r="C29" t="str">
            <v>186****6788‎‎‎‬‬‬</v>
          </cell>
        </row>
        <row r="29">
          <cell r="G29" t="str">
            <v>SF3269241885700</v>
          </cell>
          <cell r="H29" t="str">
            <v>186****6788</v>
          </cell>
        </row>
        <row r="30">
          <cell r="A30" t="str">
            <v>SF3269240753364</v>
          </cell>
          <cell r="B30" t="str">
            <v>补宝-物流服务</v>
          </cell>
          <cell r="C30" t="str">
            <v>186****6788‎‎‎‬‬‬</v>
          </cell>
        </row>
        <row r="30">
          <cell r="G30" t="str">
            <v>SF3269240753364</v>
          </cell>
          <cell r="H30" t="str">
            <v>186****6788</v>
          </cell>
        </row>
        <row r="31">
          <cell r="A31" t="str">
            <v>SF3269276252803</v>
          </cell>
          <cell r="B31" t="str">
            <v>补宝-物流服务</v>
          </cell>
          <cell r="C31" t="str">
            <v>186****6788‎‎‎‬‬‬</v>
          </cell>
        </row>
        <row r="31">
          <cell r="G31" t="str">
            <v>SF3269276252803</v>
          </cell>
          <cell r="H31" t="str">
            <v>186****6788</v>
          </cell>
        </row>
        <row r="32">
          <cell r="A32" t="str">
            <v>SF3274990520130</v>
          </cell>
          <cell r="B32" t="str">
            <v>补宝-物流服务</v>
          </cell>
          <cell r="C32" t="str">
            <v>186****6788‎‎‎‬‬‬</v>
          </cell>
        </row>
        <row r="32">
          <cell r="G32" t="str">
            <v>SF3274990520130</v>
          </cell>
          <cell r="H32" t="str">
            <v>186****6788</v>
          </cell>
        </row>
        <row r="33">
          <cell r="A33" t="str">
            <v>SF3268714509952</v>
          </cell>
          <cell r="B33" t="str">
            <v>取宝-物流服务</v>
          </cell>
          <cell r="C33" t="str">
            <v>186****6788‎‎‎‬‬‬</v>
          </cell>
        </row>
        <row r="33">
          <cell r="G33" t="str">
            <v>SF3268714509952</v>
          </cell>
          <cell r="H33" t="str">
            <v>186****6788</v>
          </cell>
        </row>
        <row r="34">
          <cell r="A34" t="str">
            <v>SF5127754205822</v>
          </cell>
          <cell r="B34" t="str">
            <v>取宝-物流服务</v>
          </cell>
          <cell r="C34" t="str">
            <v>186****6788‎‎‎‬‬‬</v>
          </cell>
        </row>
        <row r="34">
          <cell r="G34" t="str">
            <v>SF5127754205822</v>
          </cell>
          <cell r="H34" t="str">
            <v>186****6788</v>
          </cell>
        </row>
        <row r="35">
          <cell r="A35" t="str">
            <v>SF5127722665550</v>
          </cell>
          <cell r="B35" t="str">
            <v>取宝-物流服务</v>
          </cell>
          <cell r="C35" t="str">
            <v>186****6788‎‎‎‬‬‬</v>
          </cell>
        </row>
        <row r="35">
          <cell r="G35" t="str">
            <v>SF5127722665550</v>
          </cell>
          <cell r="H35" t="str">
            <v>186****6788</v>
          </cell>
        </row>
        <row r="36">
          <cell r="A36" t="str">
            <v>SF5106970421620</v>
          </cell>
          <cell r="B36" t="str">
            <v>取宝-物流服务</v>
          </cell>
          <cell r="C36" t="str">
            <v>186****6788‎‎‎‬‬‬</v>
          </cell>
        </row>
        <row r="36">
          <cell r="G36" t="str">
            <v>SF5106970421620</v>
          </cell>
          <cell r="H36" t="str">
            <v>186****6788</v>
          </cell>
        </row>
        <row r="37">
          <cell r="A37" t="str">
            <v>SF5127722066632</v>
          </cell>
          <cell r="B37" t="str">
            <v>取宝-物流服务</v>
          </cell>
          <cell r="C37" t="str">
            <v>186****6788‎‎‎‬‬‬</v>
          </cell>
        </row>
        <row r="37">
          <cell r="G37" t="str">
            <v>SF5127722066632</v>
          </cell>
          <cell r="H37" t="str">
            <v>186****6788</v>
          </cell>
        </row>
        <row r="38">
          <cell r="A38" t="str">
            <v>SF5106970144442</v>
          </cell>
          <cell r="B38" t="str">
            <v>取宝-物流服务</v>
          </cell>
          <cell r="C38" t="str">
            <v>186****6788‎‎‎‬‬‬</v>
          </cell>
        </row>
        <row r="38">
          <cell r="G38" t="str">
            <v>SF5106970144442</v>
          </cell>
          <cell r="H38" t="str">
            <v>186****6788</v>
          </cell>
        </row>
        <row r="39">
          <cell r="A39" t="str">
            <v>SF5127702222006</v>
          </cell>
          <cell r="B39" t="str">
            <v>取宝-物流服务</v>
          </cell>
          <cell r="C39" t="str">
            <v>186****6788‎‎‎‬‬‬</v>
          </cell>
        </row>
        <row r="39">
          <cell r="G39" t="str">
            <v>SF5127702222006</v>
          </cell>
          <cell r="H39" t="str">
            <v>186****6788</v>
          </cell>
        </row>
        <row r="40">
          <cell r="A40" t="str">
            <v>SF5106901940142</v>
          </cell>
          <cell r="B40" t="str">
            <v>取宝-物流服务</v>
          </cell>
          <cell r="C40" t="str">
            <v>186****6788‎‎‎‬‬‬</v>
          </cell>
        </row>
        <row r="40">
          <cell r="G40" t="str">
            <v>SF5106901940142</v>
          </cell>
          <cell r="H40" t="str">
            <v>186****6788</v>
          </cell>
        </row>
        <row r="41">
          <cell r="A41" t="str">
            <v>SF3268641154808</v>
          </cell>
          <cell r="B41" t="str">
            <v>取宝-物流服务</v>
          </cell>
          <cell r="C41" t="str">
            <v>186****6788‎‎‎‬‬‬</v>
          </cell>
        </row>
        <row r="41">
          <cell r="G41" t="str">
            <v>SF3268641154808</v>
          </cell>
          <cell r="H41" t="str">
            <v>186****6788</v>
          </cell>
        </row>
        <row r="42">
          <cell r="A42" t="str">
            <v>SF5106055772095</v>
          </cell>
          <cell r="B42" t="str">
            <v>取宝-物流服务</v>
          </cell>
          <cell r="C42" t="str">
            <v>186****6788‎‎‎‬‬‬</v>
          </cell>
        </row>
        <row r="42">
          <cell r="G42" t="str">
            <v>SF5106055772095</v>
          </cell>
          <cell r="H42" t="str">
            <v>186****6788</v>
          </cell>
        </row>
        <row r="43">
          <cell r="A43" t="str">
            <v>SF5106055772013</v>
          </cell>
          <cell r="B43" t="str">
            <v>取宝-物流服务</v>
          </cell>
          <cell r="C43" t="str">
            <v>186****6788‎‎‎‬‬‬</v>
          </cell>
        </row>
        <row r="43">
          <cell r="G43" t="str">
            <v>SF5106055772013</v>
          </cell>
          <cell r="H43" t="str">
            <v>186****6788</v>
          </cell>
        </row>
        <row r="44">
          <cell r="A44" t="str">
            <v>SF5106188210316</v>
          </cell>
          <cell r="B44" t="str">
            <v>取宝-物流服务</v>
          </cell>
          <cell r="C44" t="str">
            <v>186****6788‎‎‎‬‬‬</v>
          </cell>
        </row>
        <row r="44">
          <cell r="G44" t="str">
            <v>SF5106188210316</v>
          </cell>
          <cell r="H44" t="str">
            <v>186****6788</v>
          </cell>
        </row>
        <row r="45">
          <cell r="A45" t="str">
            <v>SF3268640954282</v>
          </cell>
          <cell r="B45" t="str">
            <v>取宝-物流服务</v>
          </cell>
          <cell r="C45" t="str">
            <v>186****6788‎‎‎‬‬‬</v>
          </cell>
        </row>
        <row r="45">
          <cell r="G45" t="str">
            <v>SF3268640954282</v>
          </cell>
          <cell r="H45" t="str">
            <v>186****6788</v>
          </cell>
        </row>
        <row r="46">
          <cell r="A46" t="str">
            <v>SF3268649501419</v>
          </cell>
          <cell r="B46" t="str">
            <v>取宝-物流服务</v>
          </cell>
          <cell r="C46" t="str">
            <v>186****6788‎‎‎‬‬‬</v>
          </cell>
        </row>
        <row r="46">
          <cell r="G46" t="str">
            <v>SF3268649501419</v>
          </cell>
          <cell r="H46" t="str">
            <v>186****6788</v>
          </cell>
        </row>
        <row r="47">
          <cell r="A47" t="str">
            <v>SF5106184196451</v>
          </cell>
          <cell r="B47" t="str">
            <v>取宝-物流服务</v>
          </cell>
          <cell r="C47" t="str">
            <v>186****6788‎‎‎‬‬‬</v>
          </cell>
        </row>
        <row r="47">
          <cell r="G47" t="str">
            <v>SF5106184196451</v>
          </cell>
          <cell r="H47" t="str">
            <v>186****6788</v>
          </cell>
        </row>
        <row r="48">
          <cell r="A48" t="str">
            <v>SF5106184196433</v>
          </cell>
          <cell r="B48" t="str">
            <v>取宝-物流服务</v>
          </cell>
          <cell r="C48" t="str">
            <v>186****6788‎‎‎‬‬‬</v>
          </cell>
        </row>
        <row r="48">
          <cell r="G48" t="str">
            <v>SF5106184196433</v>
          </cell>
          <cell r="H48" t="str">
            <v>186****6788</v>
          </cell>
        </row>
        <row r="49">
          <cell r="A49" t="str">
            <v>SF5106533894875</v>
          </cell>
          <cell r="B49" t="str">
            <v>取宝-物流服务</v>
          </cell>
          <cell r="C49" t="str">
            <v>186****6788‎‎‎‬‬‬</v>
          </cell>
        </row>
        <row r="49">
          <cell r="G49" t="str">
            <v>SF5106533894875</v>
          </cell>
          <cell r="H49" t="str">
            <v>186****6788</v>
          </cell>
        </row>
        <row r="50">
          <cell r="A50" t="str">
            <v>SF3268938193753</v>
          </cell>
          <cell r="B50" t="str">
            <v>取宝-物流服务</v>
          </cell>
          <cell r="C50" t="str">
            <v>186****6788‎‎‎‬‬‬</v>
          </cell>
        </row>
        <row r="50">
          <cell r="G50" t="str">
            <v>SF3268938193753</v>
          </cell>
          <cell r="H50" t="str">
            <v>186****6788</v>
          </cell>
        </row>
        <row r="51">
          <cell r="A51" t="str">
            <v>SF5105887607240</v>
          </cell>
          <cell r="B51" t="str">
            <v>取宝-物流服务</v>
          </cell>
          <cell r="C51" t="str">
            <v>186****6788‎‎‎‬‬‬</v>
          </cell>
        </row>
        <row r="51">
          <cell r="G51" t="str">
            <v>SF5105887607240</v>
          </cell>
          <cell r="H51" t="str">
            <v>186****6788</v>
          </cell>
        </row>
        <row r="52">
          <cell r="A52" t="str">
            <v>SF5105887607286</v>
          </cell>
          <cell r="B52" t="str">
            <v>取宝-物流服务</v>
          </cell>
          <cell r="C52" t="str">
            <v>186****6788‎‎‎‬‬‬</v>
          </cell>
        </row>
        <row r="52">
          <cell r="G52" t="str">
            <v>SF5105887607286</v>
          </cell>
          <cell r="H52" t="str">
            <v>186****6788</v>
          </cell>
        </row>
        <row r="53">
          <cell r="A53" t="str">
            <v>SF3268348952001</v>
          </cell>
          <cell r="B53" t="str">
            <v>取宝-物流服务</v>
          </cell>
          <cell r="C53" t="str">
            <v>137****3997‎‎‎‬‬‬</v>
          </cell>
        </row>
        <row r="53">
          <cell r="G53" t="str">
            <v>SF3268348952001</v>
          </cell>
          <cell r="H53" t="str">
            <v>134****9085</v>
          </cell>
        </row>
        <row r="54">
          <cell r="A54" t="str">
            <v>SF3266463124793</v>
          </cell>
          <cell r="B54" t="str">
            <v>取宝-物流服务</v>
          </cell>
          <cell r="C54" t="str">
            <v>186****6788‎‎‎‬‬‬</v>
          </cell>
        </row>
        <row r="54">
          <cell r="G54" t="str">
            <v>SF3266463124793</v>
          </cell>
          <cell r="H54" t="str">
            <v>186****6788</v>
          </cell>
        </row>
        <row r="55">
          <cell r="A55" t="str">
            <v>SF3266463124493</v>
          </cell>
          <cell r="B55" t="str">
            <v>取宝-物流服务</v>
          </cell>
          <cell r="C55" t="str">
            <v>186****6788‎‎‎‬‬‬</v>
          </cell>
        </row>
        <row r="55">
          <cell r="G55" t="str">
            <v>SF3266463124493</v>
          </cell>
          <cell r="H55" t="str">
            <v>186****6788</v>
          </cell>
        </row>
        <row r="56">
          <cell r="A56" t="str">
            <v>SF3266726759704</v>
          </cell>
          <cell r="B56" t="str">
            <v>取宝-物流服务</v>
          </cell>
          <cell r="C56" t="str">
            <v>137****3997‎‎‎‬‬‬</v>
          </cell>
        </row>
        <row r="56">
          <cell r="G56" t="str">
            <v>SF3266726759704</v>
          </cell>
          <cell r="H56" t="str">
            <v>137****3997</v>
          </cell>
        </row>
        <row r="57">
          <cell r="A57" t="str">
            <v>SF3266855056465</v>
          </cell>
          <cell r="B57" t="str">
            <v>取宝-物流服务</v>
          </cell>
          <cell r="C57" t="str">
            <v>186****6788‎‎‎‬‬‬</v>
          </cell>
        </row>
        <row r="57">
          <cell r="G57" t="str">
            <v>SF3266855056465</v>
          </cell>
          <cell r="H57" t="str">
            <v>186****6788</v>
          </cell>
        </row>
        <row r="58">
          <cell r="A58" t="str">
            <v>SF3266855268219</v>
          </cell>
          <cell r="B58" t="str">
            <v>取宝-物流服务</v>
          </cell>
          <cell r="C58" t="str">
            <v>186****6788‎‎‎‬‬‬</v>
          </cell>
        </row>
        <row r="58">
          <cell r="G58" t="str">
            <v>SF3266855268219</v>
          </cell>
          <cell r="H58" t="str">
            <v>186****6788</v>
          </cell>
        </row>
        <row r="59">
          <cell r="A59" t="str">
            <v>SF5105010030170</v>
          </cell>
          <cell r="B59" t="str">
            <v>取宝-物流服务</v>
          </cell>
          <cell r="C59" t="str">
            <v>186****6788‎‎‎‬‬‬</v>
          </cell>
        </row>
        <row r="59">
          <cell r="G59" t="str">
            <v>SF5105010030170</v>
          </cell>
          <cell r="H59" t="str">
            <v>186****6788</v>
          </cell>
        </row>
        <row r="60">
          <cell r="A60" t="str">
            <v>SF5105173211669</v>
          </cell>
          <cell r="B60" t="str">
            <v>取宝-物流服务</v>
          </cell>
          <cell r="C60" t="str">
            <v>186****6788‎‎‎‬‬‬</v>
          </cell>
        </row>
        <row r="60">
          <cell r="G60" t="str">
            <v>SF5105173211669</v>
          </cell>
          <cell r="H60" t="str">
            <v>186****6788</v>
          </cell>
        </row>
        <row r="61">
          <cell r="A61" t="str">
            <v>SF5105173211350</v>
          </cell>
          <cell r="B61" t="str">
            <v>取宝-物流服务</v>
          </cell>
          <cell r="C61" t="str">
            <v>186****6788‎‎‎‬‬‬</v>
          </cell>
        </row>
        <row r="61">
          <cell r="G61" t="str">
            <v>SF5105173211350</v>
          </cell>
          <cell r="H61" t="str">
            <v>186****6788</v>
          </cell>
        </row>
        <row r="62">
          <cell r="A62" t="str">
            <v>SF5105657330911</v>
          </cell>
          <cell r="B62" t="str">
            <v>取宝-物流服务</v>
          </cell>
          <cell r="C62" t="str">
            <v>186****6788‎‎‎‬‬‬</v>
          </cell>
        </row>
        <row r="62">
          <cell r="G62" t="str">
            <v>SF5105657330911</v>
          </cell>
          <cell r="H62" t="str">
            <v>186****6788</v>
          </cell>
        </row>
        <row r="63">
          <cell r="A63" t="str">
            <v>SF5105657330074</v>
          </cell>
          <cell r="B63" t="str">
            <v>取宝-物流服务</v>
          </cell>
          <cell r="C63" t="str">
            <v>186****6788‎‎‎‬‬‬</v>
          </cell>
        </row>
        <row r="63">
          <cell r="G63" t="str">
            <v>SF5105657330074</v>
          </cell>
          <cell r="H63" t="str">
            <v>186****6788</v>
          </cell>
        </row>
        <row r="64">
          <cell r="A64" t="str">
            <v>SF3266238182607</v>
          </cell>
          <cell r="B64" t="str">
            <v>取宝-物流服务</v>
          </cell>
          <cell r="C64" t="str">
            <v>186****6788‎‎‎‬‬‬</v>
          </cell>
        </row>
        <row r="64">
          <cell r="G64" t="str">
            <v>SF3266238182607</v>
          </cell>
          <cell r="H64" t="str">
            <v>186****6788</v>
          </cell>
        </row>
        <row r="65">
          <cell r="A65" t="str">
            <v>SF3266238182625</v>
          </cell>
          <cell r="B65" t="str">
            <v>取宝-物流服务</v>
          </cell>
          <cell r="C65" t="str">
            <v>186****6788‎‎‎‬‬‬</v>
          </cell>
        </row>
        <row r="65">
          <cell r="G65" t="str">
            <v>SF3266238182625</v>
          </cell>
          <cell r="H65" t="str">
            <v>186****6788</v>
          </cell>
        </row>
        <row r="66">
          <cell r="A66" t="str">
            <v>SF3261485909095</v>
          </cell>
          <cell r="B66" t="str">
            <v>取宝-物流服务</v>
          </cell>
          <cell r="C66" t="str">
            <v>186****6788‎‎‎‬‬‬</v>
          </cell>
        </row>
        <row r="66">
          <cell r="G66" t="str">
            <v>SF3261485909095</v>
          </cell>
          <cell r="H66" t="str">
            <v>186****6788</v>
          </cell>
        </row>
        <row r="67">
          <cell r="A67" t="str">
            <v>SF3261485909923</v>
          </cell>
          <cell r="B67" t="str">
            <v>取宝-物流服务</v>
          </cell>
          <cell r="C67" t="str">
            <v>186****6788‎‎‎‬‬‬</v>
          </cell>
        </row>
        <row r="67">
          <cell r="G67" t="str">
            <v>SF3261485909923</v>
          </cell>
          <cell r="H67" t="str">
            <v>186****6788</v>
          </cell>
        </row>
        <row r="68">
          <cell r="A68" t="str">
            <v>SF3261793330250</v>
          </cell>
          <cell r="B68" t="str">
            <v>取宝-物流服务</v>
          </cell>
          <cell r="C68" t="str">
            <v>186****6788‎‎‎‬‬‬</v>
          </cell>
        </row>
        <row r="68">
          <cell r="G68" t="str">
            <v>SF3261793330250</v>
          </cell>
          <cell r="H68" t="str">
            <v>186****6788</v>
          </cell>
        </row>
        <row r="69">
          <cell r="A69" t="str">
            <v>SF3261793330975</v>
          </cell>
          <cell r="B69" t="str">
            <v>取宝-物流服务</v>
          </cell>
          <cell r="C69" t="str">
            <v>186****6788‎‎‎‬‬‬</v>
          </cell>
        </row>
        <row r="69">
          <cell r="G69" t="str">
            <v>SF3261793330975</v>
          </cell>
          <cell r="H69" t="str">
            <v>186****6788</v>
          </cell>
        </row>
        <row r="70">
          <cell r="A70" t="str">
            <v>SF3261643577268</v>
          </cell>
          <cell r="B70" t="str">
            <v>取宝-物流服务</v>
          </cell>
          <cell r="C70" t="str">
            <v>186****6788‎‎‎‬‬‬</v>
          </cell>
        </row>
        <row r="70">
          <cell r="G70" t="str">
            <v>SF3261643577268</v>
          </cell>
          <cell r="H70" t="str">
            <v>186****6788</v>
          </cell>
        </row>
        <row r="71">
          <cell r="A71" t="str">
            <v>SF3261643546502</v>
          </cell>
          <cell r="B71" t="str">
            <v>取宝-物流服务</v>
          </cell>
          <cell r="C71" t="str">
            <v>186****6788‎‎‎‬‬‬</v>
          </cell>
        </row>
        <row r="71">
          <cell r="G71" t="str">
            <v>SF3261643546502</v>
          </cell>
          <cell r="H71" t="str">
            <v>186****6788</v>
          </cell>
        </row>
        <row r="72">
          <cell r="A72" t="str">
            <v>SF3260991839038</v>
          </cell>
          <cell r="B72" t="str">
            <v>取宝-物流服务</v>
          </cell>
          <cell r="C72" t="str">
            <v>159****1002‎‎‎‬‬‬</v>
          </cell>
        </row>
        <row r="72">
          <cell r="G72" t="str">
            <v>SF3260991839038</v>
          </cell>
          <cell r="H72" t="str">
            <v>137****1781</v>
          </cell>
        </row>
        <row r="73">
          <cell r="A73" t="str">
            <v>SF3260990255392</v>
          </cell>
          <cell r="B73" t="str">
            <v>取宝-物流服务</v>
          </cell>
          <cell r="C73" t="str">
            <v>159****1002‎‎‎‬‬‬</v>
          </cell>
        </row>
        <row r="73">
          <cell r="G73" t="str">
            <v>SF3260990255392</v>
          </cell>
          <cell r="H73" t="str">
            <v>137****1781</v>
          </cell>
        </row>
        <row r="74">
          <cell r="A74" t="str">
            <v>SF3260926780376</v>
          </cell>
          <cell r="B74" t="str">
            <v>取宝-物流服务</v>
          </cell>
          <cell r="C74" t="str">
            <v>159****1002‎‎‎‬‬‬</v>
          </cell>
        </row>
        <row r="74">
          <cell r="G74" t="str">
            <v>SF3260926780376</v>
          </cell>
          <cell r="H74" t="str">
            <v>137****1781</v>
          </cell>
        </row>
        <row r="75">
          <cell r="A75" t="str">
            <v>SF3260922986699</v>
          </cell>
          <cell r="B75" t="str">
            <v>取宝-物流服务</v>
          </cell>
          <cell r="C75" t="str">
            <v>159****1002‎‎‎‬‬‬</v>
          </cell>
        </row>
        <row r="75">
          <cell r="G75" t="str">
            <v>SF3260922986699</v>
          </cell>
          <cell r="H75" t="str">
            <v>137****1781</v>
          </cell>
        </row>
        <row r="76">
          <cell r="A76" t="str">
            <v>SF3260923645215</v>
          </cell>
          <cell r="B76" t="str">
            <v>取宝-物流服务</v>
          </cell>
          <cell r="C76" t="str">
            <v>159****1002‎‎‎‬‬‬</v>
          </cell>
        </row>
        <row r="76">
          <cell r="G76" t="str">
            <v>SF3260923645215</v>
          </cell>
          <cell r="H76" t="str">
            <v>137****1781</v>
          </cell>
        </row>
        <row r="77">
          <cell r="A77" t="str">
            <v>SF3260247668265</v>
          </cell>
          <cell r="B77" t="str">
            <v>取宝-物流服务</v>
          </cell>
          <cell r="C77" t="str">
            <v>159****1002‎‎‎‬‬‬</v>
          </cell>
        </row>
        <row r="77">
          <cell r="G77" t="str">
            <v>SF3260247668265</v>
          </cell>
          <cell r="H77" t="str">
            <v>137****1781</v>
          </cell>
        </row>
        <row r="78">
          <cell r="A78" t="str">
            <v>SF3260247668034</v>
          </cell>
          <cell r="B78" t="str">
            <v>取宝-物流服务</v>
          </cell>
          <cell r="C78" t="str">
            <v>159****1002‎‎‎‬‬‬</v>
          </cell>
        </row>
        <row r="78">
          <cell r="G78" t="str">
            <v>SF3260247668034</v>
          </cell>
          <cell r="H78" t="str">
            <v>137****1781</v>
          </cell>
        </row>
        <row r="79">
          <cell r="A79" t="str">
            <v>SF3269408246618</v>
          </cell>
          <cell r="B79" t="str">
            <v>取宝-物流服务</v>
          </cell>
          <cell r="C79" t="str">
            <v>158****6590‎‎‎‬‬‬</v>
          </cell>
        </row>
        <row r="79">
          <cell r="G79" t="str">
            <v>SF3269408246618</v>
          </cell>
          <cell r="H79" t="str">
            <v>134****9085</v>
          </cell>
        </row>
        <row r="80">
          <cell r="A80" t="str">
            <v>SF3278835817464</v>
          </cell>
          <cell r="B80" t="str">
            <v>取宝-物流服务</v>
          </cell>
          <cell r="C80" t="str">
            <v>186****6788‎‎‎‬‬‬</v>
          </cell>
        </row>
        <row r="80">
          <cell r="G80" t="str">
            <v>SF3278835817464</v>
          </cell>
          <cell r="H80" t="str">
            <v>186****6788</v>
          </cell>
        </row>
        <row r="81">
          <cell r="A81" t="str">
            <v>SF3278721881453</v>
          </cell>
          <cell r="B81" t="str">
            <v>取宝-物流服务</v>
          </cell>
          <cell r="C81" t="str">
            <v>186****6788‎‎‎‬‬‬</v>
          </cell>
        </row>
        <row r="81">
          <cell r="G81" t="str">
            <v>SF3278721881453</v>
          </cell>
          <cell r="H81" t="str">
            <v>186****6788</v>
          </cell>
        </row>
        <row r="82">
          <cell r="A82" t="str">
            <v>SF3278721883531</v>
          </cell>
          <cell r="B82" t="str">
            <v>取宝-物流服务</v>
          </cell>
          <cell r="C82" t="str">
            <v>186****6788‎‎‎‬‬‬</v>
          </cell>
        </row>
        <row r="82">
          <cell r="G82" t="str">
            <v>SF3278721883531</v>
          </cell>
          <cell r="H82" t="str">
            <v>186****6788</v>
          </cell>
        </row>
        <row r="83">
          <cell r="A83" t="str">
            <v>SF3278938703425</v>
          </cell>
          <cell r="B83" t="str">
            <v>取宝-物流服务</v>
          </cell>
          <cell r="C83" t="str">
            <v>186****6788‎‎‎‬‬‬</v>
          </cell>
        </row>
        <row r="83">
          <cell r="G83" t="str">
            <v>SF3278938703425</v>
          </cell>
          <cell r="H83" t="str">
            <v>186****6788</v>
          </cell>
        </row>
        <row r="84">
          <cell r="A84" t="str">
            <v>SF3269246462710</v>
          </cell>
          <cell r="B84" t="str">
            <v>取宝-物流服务</v>
          </cell>
          <cell r="C84" t="str">
            <v>186****6788‎‎‎‬‬‬</v>
          </cell>
        </row>
        <row r="84">
          <cell r="G84" t="str">
            <v>SF3269246462710</v>
          </cell>
          <cell r="H84" t="str">
            <v>186****6788</v>
          </cell>
        </row>
        <row r="85">
          <cell r="A85" t="str">
            <v>SF3278194935152</v>
          </cell>
          <cell r="B85" t="str">
            <v>取宝-物流服务</v>
          </cell>
          <cell r="C85" t="str">
            <v>186****6788‎‎‎‬‬‬</v>
          </cell>
        </row>
        <row r="85">
          <cell r="G85" t="str">
            <v>SF3278194935152</v>
          </cell>
          <cell r="H85" t="str">
            <v>186****6788</v>
          </cell>
        </row>
        <row r="86">
          <cell r="A86" t="str">
            <v>SF3262727180607</v>
          </cell>
          <cell r="B86" t="str">
            <v>取宝-物流服务</v>
          </cell>
          <cell r="C86" t="str">
            <v>186****6788‎‎‎‬‬‬</v>
          </cell>
        </row>
        <row r="86">
          <cell r="G86" t="str">
            <v>SF3262727180607</v>
          </cell>
          <cell r="H86" t="str">
            <v>186****6788</v>
          </cell>
        </row>
        <row r="87">
          <cell r="A87" t="str">
            <v>SF3262727180661</v>
          </cell>
          <cell r="B87" t="str">
            <v>取宝-物流服务</v>
          </cell>
          <cell r="C87" t="str">
            <v>186****6788‎‎‎‬‬‬</v>
          </cell>
        </row>
        <row r="87">
          <cell r="G87" t="str">
            <v>SF3262727180661</v>
          </cell>
          <cell r="H87" t="str">
            <v>186****6788</v>
          </cell>
        </row>
        <row r="88">
          <cell r="A88" t="str">
            <v>SF3274447743808</v>
          </cell>
          <cell r="B88" t="str">
            <v>取宝-物流服务</v>
          </cell>
          <cell r="C88" t="str">
            <v>137****6596‎‎‎‬‬‬</v>
          </cell>
        </row>
        <row r="88">
          <cell r="G88" t="str">
            <v>SF3274447743808</v>
          </cell>
          <cell r="H88" t="str">
            <v>134****9085</v>
          </cell>
        </row>
        <row r="89">
          <cell r="A89" t="str">
            <v>SF3274418514967</v>
          </cell>
          <cell r="B89" t="str">
            <v>取宝-物流服务</v>
          </cell>
          <cell r="C89" t="str">
            <v>186****8030‎‎‎‬‬‬</v>
          </cell>
        </row>
        <row r="89">
          <cell r="G89" t="str">
            <v>SF3274418514967</v>
          </cell>
          <cell r="H89" t="str">
            <v>134****6101</v>
          </cell>
        </row>
        <row r="90">
          <cell r="A90" t="str">
            <v>SF3262863515431</v>
          </cell>
          <cell r="B90" t="str">
            <v>取宝-物流服务</v>
          </cell>
          <cell r="C90" t="str">
            <v>186****8030‎‎‎‬‬‬</v>
          </cell>
        </row>
        <row r="90">
          <cell r="G90" t="str">
            <v>SF3262863515431</v>
          </cell>
          <cell r="H90" t="str">
            <v>134****6101</v>
          </cell>
        </row>
        <row r="91">
          <cell r="A91" t="str">
            <v>SF3274418514921</v>
          </cell>
          <cell r="B91" t="str">
            <v>取宝-物流服务</v>
          </cell>
          <cell r="C91" t="str">
            <v>186****8030‎‎‎‬‬‬</v>
          </cell>
        </row>
        <row r="91">
          <cell r="G91" t="str">
            <v>SF3274418514921</v>
          </cell>
          <cell r="H91" t="str">
            <v>134****6101</v>
          </cell>
        </row>
        <row r="92">
          <cell r="A92" t="str">
            <v>SF3274239917142</v>
          </cell>
          <cell r="B92" t="str">
            <v>取宝-物流服务</v>
          </cell>
          <cell r="C92" t="str">
            <v>166****7945‎‎‎‬‬‬</v>
          </cell>
        </row>
        <row r="92">
          <cell r="G92" t="str">
            <v>SF3274239917142</v>
          </cell>
          <cell r="H92" t="str">
            <v>134****6101</v>
          </cell>
        </row>
        <row r="93">
          <cell r="A93" t="str">
            <v>SF3274239917151</v>
          </cell>
          <cell r="B93" t="str">
            <v>取宝-物流服务</v>
          </cell>
          <cell r="C93" t="str">
            <v>166****7945‎‎‎‬‬‬</v>
          </cell>
        </row>
        <row r="93">
          <cell r="G93" t="str">
            <v>SF3274239917151</v>
          </cell>
          <cell r="H93" t="str">
            <v>134****6101</v>
          </cell>
        </row>
        <row r="94">
          <cell r="A94" t="str">
            <v>SF3274239917973</v>
          </cell>
          <cell r="B94" t="str">
            <v>取宝-物流服务</v>
          </cell>
          <cell r="C94" t="str">
            <v>166****7945‎‎‎‬‬‬</v>
          </cell>
        </row>
        <row r="94">
          <cell r="G94" t="str">
            <v>SF3274239917973</v>
          </cell>
          <cell r="H94" t="str">
            <v>134****6101</v>
          </cell>
        </row>
        <row r="95">
          <cell r="A95" t="str">
            <v>SF3274773516670</v>
          </cell>
          <cell r="B95" t="str">
            <v>取宝-物流服务</v>
          </cell>
          <cell r="C95" t="str">
            <v>186****6788‎‎‎‬‬‬</v>
          </cell>
        </row>
        <row r="95">
          <cell r="G95" t="str">
            <v>SF3274773516670</v>
          </cell>
          <cell r="H95" t="str">
            <v>186****6788</v>
          </cell>
        </row>
        <row r="96">
          <cell r="A96" t="str">
            <v>SF3262639025736</v>
          </cell>
          <cell r="B96" t="str">
            <v>取宝-物流服务</v>
          </cell>
          <cell r="C96" t="str">
            <v>186****6788‎‎‎‬‬‬</v>
          </cell>
        </row>
        <row r="96">
          <cell r="G96" t="str">
            <v>SF3262639025736</v>
          </cell>
          <cell r="H96" t="str">
            <v>186****6788</v>
          </cell>
        </row>
        <row r="97">
          <cell r="A97" t="str">
            <v>SF3262146754991</v>
          </cell>
          <cell r="B97" t="str">
            <v>取宝-物流服务</v>
          </cell>
          <cell r="C97" t="str">
            <v>166****7945‎‎‎‬‬‬</v>
          </cell>
        </row>
        <row r="97">
          <cell r="G97" t="str">
            <v>SF3262146754991</v>
          </cell>
          <cell r="H97" t="str">
            <v>134****6101</v>
          </cell>
        </row>
        <row r="98">
          <cell r="A98" t="str">
            <v>SF3262146754955</v>
          </cell>
          <cell r="B98" t="str">
            <v>取宝-物流服务</v>
          </cell>
          <cell r="C98" t="str">
            <v>166****7945‎‎‎‬‬‬</v>
          </cell>
        </row>
        <row r="98">
          <cell r="G98" t="str">
            <v>SF3262146754955</v>
          </cell>
          <cell r="H98" t="str">
            <v>134****6101</v>
          </cell>
        </row>
        <row r="99">
          <cell r="A99" t="str">
            <v>SF3274708420302</v>
          </cell>
          <cell r="B99" t="str">
            <v>取宝-物流服务</v>
          </cell>
          <cell r="C99" t="str">
            <v>166****7945‎‎‎‬‬‬</v>
          </cell>
        </row>
        <row r="99">
          <cell r="G99" t="str">
            <v>SF3274708420302</v>
          </cell>
          <cell r="H99" t="str">
            <v>134****6101</v>
          </cell>
        </row>
        <row r="100">
          <cell r="A100" t="str">
            <v>SF3262146773901</v>
          </cell>
          <cell r="B100" t="str">
            <v>取宝-物流服务</v>
          </cell>
          <cell r="C100" t="str">
            <v>166****7945‎‎‎‬‬‬</v>
          </cell>
        </row>
        <row r="100">
          <cell r="G100" t="str">
            <v>SF3262146773901</v>
          </cell>
          <cell r="H100" t="str">
            <v>134****6101</v>
          </cell>
        </row>
        <row r="101">
          <cell r="A101" t="str">
            <v>SF3274708420578</v>
          </cell>
          <cell r="B101" t="str">
            <v>取宝-物流服务</v>
          </cell>
          <cell r="C101" t="str">
            <v>166****7945‎‎‎‬‬‬</v>
          </cell>
        </row>
        <row r="101">
          <cell r="G101" t="str">
            <v>SF3274708420578</v>
          </cell>
          <cell r="H101" t="str">
            <v>134****6101</v>
          </cell>
        </row>
        <row r="102">
          <cell r="A102" t="str">
            <v>SF3262016306218</v>
          </cell>
          <cell r="B102" t="str">
            <v>取宝-物流服务</v>
          </cell>
          <cell r="C102" t="str">
            <v>186****6788‎‎‎‬‬‬</v>
          </cell>
        </row>
        <row r="102">
          <cell r="G102" t="str">
            <v>SF3262016306218</v>
          </cell>
          <cell r="H102" t="str">
            <v>186****6788</v>
          </cell>
        </row>
        <row r="103">
          <cell r="A103" t="str">
            <v>SF3262016306209</v>
          </cell>
          <cell r="B103" t="str">
            <v>取宝-物流服务</v>
          </cell>
          <cell r="C103" t="str">
            <v>186****6788‎‎‎‬‬‬</v>
          </cell>
        </row>
        <row r="103">
          <cell r="G103" t="str">
            <v>SF3262016306209</v>
          </cell>
          <cell r="H103" t="str">
            <v>186****6788</v>
          </cell>
        </row>
        <row r="104">
          <cell r="A104" t="str">
            <v>SF3262003381394</v>
          </cell>
          <cell r="B104" t="str">
            <v>取宝-物流服务</v>
          </cell>
          <cell r="C104" t="str">
            <v>186****6788‎‎‎‬‬‬</v>
          </cell>
        </row>
        <row r="104">
          <cell r="G104" t="str">
            <v>SF3262003381394</v>
          </cell>
          <cell r="H104" t="str">
            <v>186****6788</v>
          </cell>
        </row>
        <row r="105">
          <cell r="A105" t="str">
            <v>SF3262003381367</v>
          </cell>
          <cell r="B105" t="str">
            <v>取宝-物流服务</v>
          </cell>
          <cell r="C105" t="str">
            <v>186****6788‎‎‎‬‬‬</v>
          </cell>
        </row>
        <row r="105">
          <cell r="G105" t="str">
            <v>SF3262003381367</v>
          </cell>
          <cell r="H105" t="str">
            <v>186****6788</v>
          </cell>
        </row>
        <row r="106">
          <cell r="A106" t="str">
            <v>SF3262028718328</v>
          </cell>
          <cell r="B106" t="str">
            <v>取宝-物流服务</v>
          </cell>
          <cell r="C106" t="str">
            <v>186****6788‎‎‎‬‬‬</v>
          </cell>
        </row>
        <row r="106">
          <cell r="G106" t="str">
            <v>SF3262028718328</v>
          </cell>
          <cell r="H106" t="str">
            <v>186****6788</v>
          </cell>
        </row>
        <row r="107">
          <cell r="A107" t="str">
            <v>SF3274904297678</v>
          </cell>
          <cell r="B107" t="str">
            <v>取宝-物流服务</v>
          </cell>
          <cell r="C107" t="str">
            <v>186****6788‎‎‎‬‬‬</v>
          </cell>
        </row>
        <row r="107">
          <cell r="G107" t="str">
            <v>SF3274904297678</v>
          </cell>
          <cell r="H107" t="str">
            <v>186****6788</v>
          </cell>
        </row>
        <row r="108">
          <cell r="A108" t="str">
            <v>SF3262028718391</v>
          </cell>
          <cell r="B108" t="str">
            <v>取宝-物流服务</v>
          </cell>
          <cell r="C108" t="str">
            <v>186****6788‎‎‎‬‬‬</v>
          </cell>
        </row>
        <row r="108">
          <cell r="G108" t="str">
            <v>SF3262028718391</v>
          </cell>
          <cell r="H108" t="str">
            <v>186****6788</v>
          </cell>
        </row>
        <row r="109">
          <cell r="A109" t="str">
            <v>SF3295326848005</v>
          </cell>
          <cell r="B109" t="str">
            <v>取宝-物流服务</v>
          </cell>
          <cell r="C109" t="str">
            <v>186****6788‎‎‎‬‬‬</v>
          </cell>
        </row>
        <row r="109">
          <cell r="G109" t="str">
            <v>SF3295326848005</v>
          </cell>
          <cell r="H109" t="str">
            <v>186****6788</v>
          </cell>
        </row>
        <row r="110">
          <cell r="A110" t="str">
            <v>SF3262377404072</v>
          </cell>
          <cell r="B110" t="str">
            <v>取宝-物流服务</v>
          </cell>
          <cell r="C110" t="str">
            <v>186****6788‎‎‎‬‬‬</v>
          </cell>
        </row>
        <row r="110">
          <cell r="G110" t="str">
            <v>SF3262377404072</v>
          </cell>
          <cell r="H110" t="str">
            <v>186****6788</v>
          </cell>
        </row>
        <row r="111">
          <cell r="A111" t="str">
            <v>SF3262378607753</v>
          </cell>
          <cell r="B111" t="str">
            <v>取宝-物流服务</v>
          </cell>
          <cell r="C111" t="str">
            <v>186****6788‎‎‎‬‬‬</v>
          </cell>
        </row>
        <row r="111">
          <cell r="G111" t="str">
            <v>SF3262378607753</v>
          </cell>
          <cell r="H111" t="str">
            <v>186****6788</v>
          </cell>
        </row>
        <row r="112">
          <cell r="A112" t="str">
            <v>SF3295365941133</v>
          </cell>
          <cell r="B112" t="str">
            <v>取宝-物流服务</v>
          </cell>
          <cell r="C112" t="str">
            <v>186****6788‎‎‎‬‬‬</v>
          </cell>
        </row>
        <row r="112">
          <cell r="G112" t="str">
            <v>SF3295365941133</v>
          </cell>
          <cell r="H112" t="str">
            <v>186****6788</v>
          </cell>
        </row>
        <row r="113">
          <cell r="A113" t="str">
            <v>SF3295364078732</v>
          </cell>
          <cell r="B113" t="str">
            <v>取宝-物流服务</v>
          </cell>
          <cell r="C113" t="str">
            <v>184****1003‎‎‎‬‬‬</v>
          </cell>
        </row>
        <row r="113">
          <cell r="G113" t="str">
            <v>SF3295364078732</v>
          </cell>
          <cell r="H113" t="str">
            <v>134****6101</v>
          </cell>
        </row>
        <row r="114">
          <cell r="A114" t="str">
            <v>SF3295364078769</v>
          </cell>
          <cell r="B114" t="str">
            <v>取宝-物流服务</v>
          </cell>
          <cell r="C114" t="str">
            <v>184****1003‎‎‎‬‬‬</v>
          </cell>
        </row>
        <row r="114">
          <cell r="G114" t="str">
            <v>SF3295364078769</v>
          </cell>
          <cell r="H114" t="str">
            <v>134****6101</v>
          </cell>
        </row>
        <row r="115">
          <cell r="A115" t="str">
            <v>SF3262372117661</v>
          </cell>
          <cell r="B115" t="str">
            <v>取宝-物流服务</v>
          </cell>
          <cell r="C115" t="str">
            <v>184****1003‎‎‎‬‬‬</v>
          </cell>
        </row>
        <row r="115">
          <cell r="G115" t="str">
            <v>SF3262372117661</v>
          </cell>
          <cell r="H115" t="str">
            <v>134****6101</v>
          </cell>
        </row>
        <row r="116">
          <cell r="A116" t="str">
            <v>SF5106905084308</v>
          </cell>
          <cell r="B116" t="str">
            <v>取宝-仅物流</v>
          </cell>
          <cell r="C116" t="str">
            <v>155****0885‎‎‎‬‬‬</v>
          </cell>
        </row>
        <row r="116">
          <cell r="G116" t="str">
            <v>SF5106905084308</v>
          </cell>
          <cell r="H116" t="str">
            <v>165****7666</v>
          </cell>
        </row>
        <row r="117">
          <cell r="A117" t="str">
            <v>SF5127707134034</v>
          </cell>
          <cell r="B117" t="str">
            <v>取宝-仅物流</v>
          </cell>
          <cell r="C117" t="str">
            <v>155****0885‎‎‎‬‬‬</v>
          </cell>
        </row>
        <row r="117">
          <cell r="G117" t="str">
            <v>SF5127707134034</v>
          </cell>
          <cell r="H117" t="str">
            <v>165****7666</v>
          </cell>
        </row>
        <row r="118">
          <cell r="A118" t="str">
            <v>SF3268572592828</v>
          </cell>
          <cell r="B118" t="str">
            <v>取宝-仅物流</v>
          </cell>
          <cell r="C118" t="str">
            <v>155****0885‎‎‎‬‬‬</v>
          </cell>
        </row>
        <row r="118">
          <cell r="G118" t="str">
            <v>SF3268572592828</v>
          </cell>
          <cell r="H118" t="str">
            <v>165****7666</v>
          </cell>
        </row>
        <row r="119">
          <cell r="A119" t="str">
            <v>SF3266482137729</v>
          </cell>
          <cell r="B119" t="str">
            <v>取宝-仅物流</v>
          </cell>
          <cell r="C119" t="str">
            <v>155****0885‎‎‎‬‬‬</v>
          </cell>
        </row>
        <row r="119">
          <cell r="G119" t="str">
            <v>SF3266482137729</v>
          </cell>
          <cell r="H119" t="str">
            <v>165****7666</v>
          </cell>
        </row>
        <row r="120">
          <cell r="A120" t="str">
            <v>SF5105265388697</v>
          </cell>
          <cell r="B120" t="str">
            <v>取宝-仅物流</v>
          </cell>
          <cell r="C120" t="str">
            <v>155****0885‎‎‎‬‬‬</v>
          </cell>
        </row>
        <row r="120">
          <cell r="G120" t="str">
            <v>SF5105265388697</v>
          </cell>
          <cell r="H120" t="str">
            <v>165****7666</v>
          </cell>
        </row>
        <row r="121">
          <cell r="A121" t="str">
            <v>SF3266482135775</v>
          </cell>
          <cell r="B121" t="str">
            <v>取宝-仅物流</v>
          </cell>
          <cell r="C121" t="str">
            <v>155****0885‎‎‎‬‬‬</v>
          </cell>
        </row>
        <row r="121">
          <cell r="G121" t="str">
            <v>SF3266482135775</v>
          </cell>
          <cell r="H121" t="str">
            <v>165****7666</v>
          </cell>
        </row>
        <row r="122">
          <cell r="A122" t="str">
            <v>SF5105660532886</v>
          </cell>
          <cell r="B122" t="str">
            <v>取宝-仅物流</v>
          </cell>
          <cell r="C122" t="str">
            <v>135****0146‎‎‎‬‬‬</v>
          </cell>
        </row>
        <row r="122">
          <cell r="G122" t="str">
            <v>SF5105660532886</v>
          </cell>
          <cell r="H122" t="str">
            <v>130****4667</v>
          </cell>
        </row>
        <row r="123">
          <cell r="A123" t="str">
            <v>SF3266075663547</v>
          </cell>
          <cell r="B123" t="str">
            <v>取宝-仅物流</v>
          </cell>
          <cell r="C123" t="str">
            <v>135****0146‎‎‎‬‬‬</v>
          </cell>
        </row>
        <row r="123">
          <cell r="G123" t="str">
            <v>SF3266075663547</v>
          </cell>
          <cell r="H123" t="str">
            <v>130****4667</v>
          </cell>
        </row>
        <row r="124">
          <cell r="A124" t="str">
            <v>SF3266075663713</v>
          </cell>
          <cell r="B124" t="str">
            <v>取宝-仅物流</v>
          </cell>
          <cell r="C124" t="str">
            <v>135****0146‎‎‎‬‬‬</v>
          </cell>
        </row>
        <row r="124">
          <cell r="G124" t="str">
            <v>SF3266075663713</v>
          </cell>
          <cell r="H124" t="str">
            <v>130****4667</v>
          </cell>
        </row>
        <row r="125">
          <cell r="A125" t="str">
            <v>SF5105660534567</v>
          </cell>
          <cell r="B125" t="str">
            <v>取宝-仅物流</v>
          </cell>
          <cell r="C125" t="str">
            <v>135****0146‎‎‎‬‬‬</v>
          </cell>
        </row>
        <row r="125">
          <cell r="G125" t="str">
            <v>SF5105660534567</v>
          </cell>
          <cell r="H125" t="str">
            <v>130****4667</v>
          </cell>
        </row>
        <row r="126">
          <cell r="A126" t="str">
            <v>SF5105660534530</v>
          </cell>
          <cell r="B126" t="str">
            <v>取宝-仅物流</v>
          </cell>
          <cell r="C126" t="str">
            <v>135****0146‎‎‎‬‬‬</v>
          </cell>
        </row>
        <row r="126">
          <cell r="G126" t="str">
            <v>SF5105660534530</v>
          </cell>
          <cell r="H126" t="str">
            <v>130****4667</v>
          </cell>
        </row>
        <row r="127">
          <cell r="A127" t="str">
            <v>SF3261483137661</v>
          </cell>
          <cell r="B127" t="str">
            <v>取宝-仅物流</v>
          </cell>
          <cell r="C127" t="str">
            <v>137****3997‎‎‎‬‬‬</v>
          </cell>
        </row>
        <row r="127">
          <cell r="G127" t="str">
            <v>SF3261483137661</v>
          </cell>
          <cell r="H127" t="str">
            <v>137****3998</v>
          </cell>
        </row>
        <row r="128">
          <cell r="A128" t="str">
            <v>SF3278202333421</v>
          </cell>
          <cell r="B128" t="str">
            <v>取宝-仅物流</v>
          </cell>
          <cell r="C128" t="str">
            <v>136****9012‎‎‎‬‬‬</v>
          </cell>
        </row>
        <row r="128">
          <cell r="G128" t="str">
            <v>SF3278202333421</v>
          </cell>
          <cell r="H128" t="str">
            <v>165****7666</v>
          </cell>
        </row>
        <row r="129">
          <cell r="A129" t="str">
            <v>SF3278202333403</v>
          </cell>
          <cell r="B129" t="str">
            <v>取宝-仅物流</v>
          </cell>
          <cell r="C129" t="str">
            <v>136****9012‎‎‎‬‬‬</v>
          </cell>
        </row>
        <row r="129">
          <cell r="G129" t="str">
            <v>SF3278202333403</v>
          </cell>
          <cell r="H129" t="str">
            <v>165****7666</v>
          </cell>
        </row>
        <row r="130">
          <cell r="A130" t="str">
            <v>SF3278202333449</v>
          </cell>
          <cell r="B130" t="str">
            <v>取宝-仅物流</v>
          </cell>
          <cell r="C130" t="str">
            <v>136****9012‎‎‎‬‬‬</v>
          </cell>
        </row>
        <row r="130">
          <cell r="G130" t="str">
            <v>SF3278202333449</v>
          </cell>
          <cell r="H130" t="str">
            <v>165****7666</v>
          </cell>
        </row>
        <row r="131">
          <cell r="A131" t="str">
            <v>SF3262992584639</v>
          </cell>
          <cell r="B131" t="str">
            <v>取宝-仅物流</v>
          </cell>
          <cell r="C131" t="str">
            <v>130****4667‎‎‎‬‬‬</v>
          </cell>
        </row>
        <row r="131">
          <cell r="G131" t="str">
            <v>SF3262992584639</v>
          </cell>
          <cell r="H131" t="str">
            <v>130****4667</v>
          </cell>
        </row>
        <row r="132">
          <cell r="A132" t="str">
            <v>SF5103003341641</v>
          </cell>
          <cell r="B132" t="str">
            <v>立充充电宝取机柜-物流服务</v>
          </cell>
          <cell r="C132" t="str">
            <v>186****6788‎‎‎‬‬‬</v>
          </cell>
        </row>
        <row r="132">
          <cell r="G132" t="str">
            <v>SF3268714724220</v>
          </cell>
          <cell r="H132" t="str">
            <v>186****6788</v>
          </cell>
        </row>
        <row r="133">
          <cell r="A133" t="str">
            <v>SF3265889459944</v>
          </cell>
          <cell r="B133" t="str">
            <v>立充充电宝取机柜-物流服务</v>
          </cell>
          <cell r="C133" t="str">
            <v>186****6788‎‎‎‬‬‬</v>
          </cell>
        </row>
        <row r="133">
          <cell r="G133" t="str">
            <v>SF5127722204781,SF2074509697134</v>
          </cell>
          <cell r="H133" t="str">
            <v>186****6788</v>
          </cell>
        </row>
        <row r="134">
          <cell r="A134" t="str">
            <v>SF5127508764809</v>
          </cell>
          <cell r="B134" t="str">
            <v>立充充电宝取机柜-物流服务</v>
          </cell>
          <cell r="C134" t="str">
            <v>186****6788‎‎‎‬‬‬</v>
          </cell>
        </row>
        <row r="134">
          <cell r="G134" t="str">
            <v>SF5106979506489</v>
          </cell>
          <cell r="H134" t="str">
            <v>186****6788</v>
          </cell>
        </row>
        <row r="135">
          <cell r="A135" t="str">
            <v>SF5127597048630</v>
          </cell>
          <cell r="B135" t="str">
            <v>立充充电宝取机柜-物流服务</v>
          </cell>
          <cell r="C135" t="str">
            <v>186****6788‎‎‎‬‬‬</v>
          </cell>
        </row>
        <row r="135">
          <cell r="G135" t="str">
            <v>SF5106970083922</v>
          </cell>
          <cell r="H135" t="str">
            <v>186****6788</v>
          </cell>
        </row>
        <row r="136">
          <cell r="A136" t="str">
            <v>SF5103182724031</v>
          </cell>
          <cell r="B136" t="str">
            <v>立充充电宝取机柜-物流服务</v>
          </cell>
          <cell r="C136" t="str">
            <v>186****6788‎‎‎‬‬‬</v>
          </cell>
        </row>
        <row r="136">
          <cell r="G136" t="str">
            <v>SF3268545240764</v>
          </cell>
          <cell r="H136" t="str">
            <v>155****0885</v>
          </cell>
        </row>
        <row r="137">
          <cell r="A137" t="str">
            <v>SF5106805081938</v>
          </cell>
          <cell r="B137" t="str">
            <v>立充充电宝取机柜-物流服务</v>
          </cell>
          <cell r="C137" t="str">
            <v>186****6788‎‎‎‬‬‬</v>
          </cell>
        </row>
        <row r="137">
          <cell r="G137" t="str">
            <v>SF5106997533365</v>
          </cell>
          <cell r="H137" t="str">
            <v>155****0885</v>
          </cell>
        </row>
        <row r="138">
          <cell r="A138" t="str">
            <v>SF3268714724220</v>
          </cell>
          <cell r="B138" t="str">
            <v>立充充电宝取机柜-物流服务</v>
          </cell>
          <cell r="C138" t="str">
            <v>186****6788‎‎‎‬‬‬</v>
          </cell>
        </row>
        <row r="138">
          <cell r="G138" t="str">
            <v>SF5127766316133</v>
          </cell>
          <cell r="H138" t="str">
            <v>155****0885</v>
          </cell>
        </row>
        <row r="139">
          <cell r="A139" t="str">
            <v>SF5127722204781,SF2074509697134</v>
          </cell>
          <cell r="B139" t="str">
            <v>立充充电宝取机柜-物流服务</v>
          </cell>
          <cell r="C139" t="str">
            <v>186****6788‎‎‎‬‬‬</v>
          </cell>
        </row>
        <row r="139">
          <cell r="G139" t="str">
            <v>SF3268571425528</v>
          </cell>
          <cell r="H139" t="str">
            <v>186****6788</v>
          </cell>
        </row>
        <row r="140">
          <cell r="A140" t="str">
            <v>SF5106979506489</v>
          </cell>
          <cell r="B140" t="str">
            <v>立充充电宝取机柜-物流服务</v>
          </cell>
          <cell r="C140" t="str">
            <v>186****6788‎‎‎‬‬‬</v>
          </cell>
        </row>
        <row r="140">
          <cell r="G140" t="str">
            <v>SF5106901786306</v>
          </cell>
          <cell r="H140" t="str">
            <v>186****6788</v>
          </cell>
        </row>
        <row r="141">
          <cell r="A141" t="str">
            <v>SF5106970083922</v>
          </cell>
          <cell r="B141" t="str">
            <v>立充充电宝取机柜-物流服务</v>
          </cell>
          <cell r="C141" t="str">
            <v>186****6788‎‎‎‬‬‬</v>
          </cell>
        </row>
        <row r="141">
          <cell r="G141" t="str">
            <v>SF5106096474396</v>
          </cell>
          <cell r="H141" t="str">
            <v>134****6101</v>
          </cell>
        </row>
        <row r="142">
          <cell r="A142" t="str">
            <v>SF3268545240764</v>
          </cell>
          <cell r="B142" t="str">
            <v>立充充电宝取机柜-物流服务</v>
          </cell>
          <cell r="C142" t="str">
            <v>155****0885‎‎‎‬‬‬</v>
          </cell>
        </row>
        <row r="142">
          <cell r="G142" t="str">
            <v>SF3268857237271</v>
          </cell>
          <cell r="H142" t="str">
            <v>134****6101</v>
          </cell>
        </row>
        <row r="143">
          <cell r="A143" t="str">
            <v>SF5106997533365</v>
          </cell>
          <cell r="B143" t="str">
            <v>立充充电宝取机柜-物流服务</v>
          </cell>
          <cell r="C143" t="str">
            <v>155****0885‎‎‎‬‬‬</v>
          </cell>
        </row>
        <row r="143">
          <cell r="G143" t="str">
            <v>SF5106096472069</v>
          </cell>
          <cell r="H143" t="str">
            <v>134****6101</v>
          </cell>
        </row>
        <row r="144">
          <cell r="A144" t="str">
            <v>SF5127766316133</v>
          </cell>
          <cell r="B144" t="str">
            <v>立充充电宝取机柜-物流服务</v>
          </cell>
          <cell r="C144" t="str">
            <v>155****0885‎‎‎‬‬‬</v>
          </cell>
        </row>
        <row r="144">
          <cell r="G144" t="str">
            <v>SF3268857235281</v>
          </cell>
          <cell r="H144" t="str">
            <v>134****6101</v>
          </cell>
        </row>
        <row r="145">
          <cell r="A145" t="str">
            <v>SF3268571425528</v>
          </cell>
          <cell r="B145" t="str">
            <v>立充充电宝取机柜-物流服务</v>
          </cell>
          <cell r="C145" t="str">
            <v>186****6788‎‎‎‬‬‬</v>
          </cell>
        </row>
        <row r="145">
          <cell r="G145" t="str">
            <v>SF3268857238114</v>
          </cell>
          <cell r="H145" t="str">
            <v>134****6101</v>
          </cell>
        </row>
        <row r="146">
          <cell r="A146" t="str">
            <v>SF5106901786306</v>
          </cell>
          <cell r="B146" t="str">
            <v>立充充电宝取机柜-物流服务</v>
          </cell>
          <cell r="C146" t="str">
            <v>186****6788‎‎‎‬‬‬</v>
          </cell>
        </row>
        <row r="146">
          <cell r="G146" t="str">
            <v>SF3268857238141</v>
          </cell>
          <cell r="H146" t="str">
            <v>134****6101</v>
          </cell>
        </row>
        <row r="147">
          <cell r="A147" t="str">
            <v>SF5106096474396</v>
          </cell>
          <cell r="B147" t="str">
            <v>立充充电宝取机柜-物流服务</v>
          </cell>
          <cell r="C147" t="str">
            <v>166****7945‎‎‎‬‬‬</v>
          </cell>
        </row>
        <row r="147">
          <cell r="G147" t="str">
            <v>SF5106096472184</v>
          </cell>
          <cell r="H147" t="str">
            <v>134****6101</v>
          </cell>
        </row>
        <row r="148">
          <cell r="A148" t="str">
            <v>SF3268857237271</v>
          </cell>
          <cell r="B148" t="str">
            <v>立充充电宝取机柜-物流服务</v>
          </cell>
          <cell r="C148" t="str">
            <v>166****7945‎‎‎‬‬‬</v>
          </cell>
        </row>
        <row r="148">
          <cell r="G148" t="str">
            <v>SF3268857238618</v>
          </cell>
          <cell r="H148" t="str">
            <v>134****6101</v>
          </cell>
        </row>
        <row r="149">
          <cell r="A149" t="str">
            <v>SF5106096472069</v>
          </cell>
          <cell r="B149" t="str">
            <v>立充充电宝取机柜-物流服务</v>
          </cell>
          <cell r="C149" t="str">
            <v>166****7945‎‎‎‬‬‬</v>
          </cell>
        </row>
        <row r="149">
          <cell r="G149" t="str">
            <v>SF5106055396564</v>
          </cell>
          <cell r="H149" t="str">
            <v>186****6788</v>
          </cell>
        </row>
        <row r="150">
          <cell r="A150" t="str">
            <v>SF3268857235281</v>
          </cell>
          <cell r="B150" t="str">
            <v>立充充电宝取机柜-物流服务</v>
          </cell>
          <cell r="C150" t="str">
            <v>166****7945‎‎‎‬‬‬</v>
          </cell>
        </row>
        <row r="150">
          <cell r="G150" t="str">
            <v>SF3268641340217</v>
          </cell>
          <cell r="H150" t="str">
            <v>186****6788</v>
          </cell>
        </row>
        <row r="151">
          <cell r="A151" t="str">
            <v>SF3268857238114</v>
          </cell>
          <cell r="B151" t="str">
            <v>立充充电宝取机柜-物流服务</v>
          </cell>
          <cell r="C151" t="str">
            <v>166****7945‎‎‎‬‬‬</v>
          </cell>
        </row>
        <row r="151">
          <cell r="G151" t="str">
            <v>SF3268640416024</v>
          </cell>
          <cell r="H151" t="str">
            <v>186****6788</v>
          </cell>
        </row>
        <row r="152">
          <cell r="A152" t="str">
            <v>SF3268857238141</v>
          </cell>
          <cell r="B152" t="str">
            <v>立充充电宝取机柜-物流服务</v>
          </cell>
          <cell r="C152" t="str">
            <v>166****7945‎‎‎‬‬‬</v>
          </cell>
        </row>
        <row r="152">
          <cell r="G152" t="str">
            <v>SF3268640105742</v>
          </cell>
          <cell r="H152" t="str">
            <v>186****6788</v>
          </cell>
        </row>
        <row r="153">
          <cell r="A153" t="str">
            <v>SF5106096472184</v>
          </cell>
          <cell r="B153" t="str">
            <v>立充充电宝取机柜-物流服务</v>
          </cell>
          <cell r="C153" t="str">
            <v>166****7945‎‎‎‬‬‬</v>
          </cell>
        </row>
        <row r="153">
          <cell r="G153" t="str">
            <v>SF3268649653701</v>
          </cell>
          <cell r="H153" t="str">
            <v>186****6788</v>
          </cell>
        </row>
        <row r="154">
          <cell r="A154" t="str">
            <v>SF3268857238618</v>
          </cell>
          <cell r="B154" t="str">
            <v>立充充电宝取机柜-物流服务</v>
          </cell>
          <cell r="C154" t="str">
            <v>166****7945‎‎‎‬‬‬</v>
          </cell>
        </row>
        <row r="154">
          <cell r="G154" t="str">
            <v>SF3268649653710</v>
          </cell>
          <cell r="H154" t="str">
            <v>186****6788</v>
          </cell>
        </row>
        <row r="155">
          <cell r="A155" t="str">
            <v>SF5106055396564</v>
          </cell>
          <cell r="B155" t="str">
            <v>立充充电宝取机柜-物流服务</v>
          </cell>
          <cell r="C155" t="str">
            <v>186****6788‎‎‎‬‬‬</v>
          </cell>
        </row>
        <row r="155">
          <cell r="G155" t="str">
            <v>SF3268642706160</v>
          </cell>
          <cell r="H155" t="str">
            <v>186****6788</v>
          </cell>
        </row>
        <row r="156">
          <cell r="A156" t="str">
            <v>SF3268641340217</v>
          </cell>
          <cell r="B156" t="str">
            <v>立充充电宝取机柜-物流服务</v>
          </cell>
          <cell r="C156" t="str">
            <v>186****6788‎‎‎‬‬‬</v>
          </cell>
        </row>
        <row r="156">
          <cell r="G156" t="str">
            <v>SF5106184982867</v>
          </cell>
          <cell r="H156" t="str">
            <v>186****6788</v>
          </cell>
        </row>
        <row r="157">
          <cell r="A157" t="str">
            <v>SF3268640416024</v>
          </cell>
          <cell r="B157" t="str">
            <v>立充充电宝取机柜-物流服务</v>
          </cell>
          <cell r="C157" t="str">
            <v>186****6788‎‎‎‬‬‬</v>
          </cell>
        </row>
        <row r="157">
          <cell r="G157" t="str">
            <v>SF5106696869484</v>
          </cell>
          <cell r="H157" t="str">
            <v>136****7868</v>
          </cell>
        </row>
        <row r="158">
          <cell r="A158" t="str">
            <v>SF3268640105742</v>
          </cell>
          <cell r="B158" t="str">
            <v>立充充电宝取机柜-物流服务</v>
          </cell>
          <cell r="C158" t="str">
            <v>186****6788‎‎‎‬‬‬</v>
          </cell>
        </row>
        <row r="158">
          <cell r="G158" t="str">
            <v>SF5106531594533</v>
          </cell>
          <cell r="H158" t="str">
            <v>186****6788</v>
          </cell>
        </row>
        <row r="159">
          <cell r="A159" t="str">
            <v>SF3268649653701</v>
          </cell>
          <cell r="B159" t="str">
            <v>立充充电宝取机柜-物流服务</v>
          </cell>
          <cell r="C159" t="str">
            <v>186****6788‎‎‎‬‬‬</v>
          </cell>
        </row>
        <row r="159">
          <cell r="G159" t="str">
            <v>SF3268275983358</v>
          </cell>
          <cell r="H159" t="str">
            <v>131****2614</v>
          </cell>
        </row>
        <row r="160">
          <cell r="A160" t="str">
            <v>SF3268649653710</v>
          </cell>
          <cell r="B160" t="str">
            <v>立充充电宝取机柜-物流服务</v>
          </cell>
          <cell r="C160" t="str">
            <v>186****6788‎‎‎‬‬‬</v>
          </cell>
        </row>
        <row r="160">
          <cell r="G160" t="str">
            <v>SF3268275983233</v>
          </cell>
          <cell r="H160" t="str">
            <v>131****2614</v>
          </cell>
        </row>
        <row r="161">
          <cell r="A161" t="str">
            <v>SF3268642706160</v>
          </cell>
          <cell r="B161" t="str">
            <v>立充充电宝取机柜-物流服务</v>
          </cell>
          <cell r="C161" t="str">
            <v>186****6788‎‎‎‬‬‬</v>
          </cell>
        </row>
        <row r="161">
          <cell r="G161" t="str">
            <v>SF5105887343533</v>
          </cell>
          <cell r="H161" t="str">
            <v>186****6788</v>
          </cell>
        </row>
        <row r="162">
          <cell r="A162" t="str">
            <v>SF5106184982867</v>
          </cell>
          <cell r="B162" t="str">
            <v>立充充电宝取机柜-物流服务</v>
          </cell>
          <cell r="C162" t="str">
            <v>186****6788‎‎‎‬‬‬</v>
          </cell>
        </row>
        <row r="162">
          <cell r="G162" t="str">
            <v>SF3266463665558</v>
          </cell>
          <cell r="H162" t="str">
            <v>186****6788</v>
          </cell>
        </row>
        <row r="163">
          <cell r="A163" t="str">
            <v>SF5106696869484</v>
          </cell>
          <cell r="B163" t="str">
            <v>立充充电宝取机柜-物流服务</v>
          </cell>
          <cell r="C163" t="str">
            <v>180****5919‎‎‎‬‬‬</v>
          </cell>
        </row>
        <row r="163">
          <cell r="G163" t="str">
            <v>SF5105010407334</v>
          </cell>
          <cell r="H163" t="str">
            <v>186****6788</v>
          </cell>
        </row>
        <row r="164">
          <cell r="A164" t="str">
            <v>SF5106531594533</v>
          </cell>
          <cell r="B164" t="str">
            <v>立充充电宝取机柜-物流服务</v>
          </cell>
          <cell r="C164" t="str">
            <v>186****6788‎‎‎‬‬‬</v>
          </cell>
        </row>
        <row r="164">
          <cell r="G164" t="str">
            <v>SF5105173489237</v>
          </cell>
          <cell r="H164" t="str">
            <v>186****6788</v>
          </cell>
        </row>
        <row r="165">
          <cell r="A165" t="str">
            <v>SF3268275983358</v>
          </cell>
          <cell r="B165" t="str">
            <v>立充充电宝取机柜-物流服务</v>
          </cell>
          <cell r="C165" t="str">
            <v>150****3407‎‎‎‬‬‬</v>
          </cell>
        </row>
        <row r="165">
          <cell r="G165" t="str">
            <v>SF3266892906667</v>
          </cell>
          <cell r="H165" t="str">
            <v>131****2614</v>
          </cell>
        </row>
        <row r="166">
          <cell r="A166" t="str">
            <v>SF3268275983233</v>
          </cell>
          <cell r="B166" t="str">
            <v>立充充电宝取机柜-物流服务</v>
          </cell>
          <cell r="C166" t="str">
            <v>150****3407‎‎‎‬‬‬</v>
          </cell>
        </row>
        <row r="166">
          <cell r="G166" t="str">
            <v>SF5105657091133</v>
          </cell>
          <cell r="H166" t="str">
            <v>186****6788</v>
          </cell>
        </row>
        <row r="167">
          <cell r="A167" t="str">
            <v>SF5105887343533</v>
          </cell>
          <cell r="B167" t="str">
            <v>立充充电宝取机柜-物流服务</v>
          </cell>
          <cell r="C167" t="str">
            <v>186****6788‎‎‎‬‬‬</v>
          </cell>
        </row>
        <row r="167">
          <cell r="G167" t="str">
            <v>SF3266054338598</v>
          </cell>
          <cell r="H167" t="str">
            <v>186****6788</v>
          </cell>
        </row>
        <row r="168">
          <cell r="A168" t="str">
            <v>SF3266463665558</v>
          </cell>
          <cell r="B168" t="str">
            <v>立充充电宝取机柜-物流服务</v>
          </cell>
          <cell r="C168" t="str">
            <v>186****6788‎‎‎‬‬‬</v>
          </cell>
        </row>
        <row r="168">
          <cell r="G168" t="str">
            <v>SF3266932456474</v>
          </cell>
          <cell r="H168" t="str">
            <v>131****2614</v>
          </cell>
        </row>
        <row r="169">
          <cell r="A169" t="str">
            <v>SF5105010407334</v>
          </cell>
          <cell r="B169" t="str">
            <v>立充充电宝取机柜-物流服务</v>
          </cell>
          <cell r="C169" t="str">
            <v>186****6788‎‎‎‬‬‬</v>
          </cell>
        </row>
        <row r="169">
          <cell r="G169" t="str">
            <v>SF3266932454448</v>
          </cell>
          <cell r="H169" t="str">
            <v>131****2614</v>
          </cell>
        </row>
        <row r="170">
          <cell r="A170" t="str">
            <v>SF5105173489237</v>
          </cell>
          <cell r="B170" t="str">
            <v>立充充电宝取机柜-物流服务</v>
          </cell>
          <cell r="C170" t="str">
            <v>186****6788‎‎‎‬‬‬</v>
          </cell>
        </row>
        <row r="170">
          <cell r="G170" t="str">
            <v>SF3266932455974</v>
          </cell>
          <cell r="H170" t="str">
            <v>131****2614</v>
          </cell>
        </row>
        <row r="171">
          <cell r="A171" t="str">
            <v>SF3266892906667</v>
          </cell>
          <cell r="B171" t="str">
            <v>立充充电宝取机柜-物流服务</v>
          </cell>
          <cell r="C171" t="str">
            <v>150****3407‎‎‎‬‬‬</v>
          </cell>
        </row>
        <row r="171">
          <cell r="G171" t="str">
            <v>SF3266932451515</v>
          </cell>
          <cell r="H171" t="str">
            <v>131****2614</v>
          </cell>
        </row>
        <row r="172">
          <cell r="A172" t="str">
            <v>SF3268270973716</v>
          </cell>
          <cell r="B172" t="str">
            <v>立充充电宝取机柜-物流服务</v>
          </cell>
          <cell r="C172" t="str">
            <v>150****3407‎‎‎‬‬‬</v>
          </cell>
        </row>
        <row r="172">
          <cell r="G172" t="str">
            <v>SF3266932451897</v>
          </cell>
          <cell r="H172" t="str">
            <v>131****2614</v>
          </cell>
        </row>
        <row r="173">
          <cell r="A173" t="str">
            <v>SF5106905958549</v>
          </cell>
          <cell r="B173" t="str">
            <v>立充充电宝取机柜-仅物流</v>
          </cell>
          <cell r="C173" t="str">
            <v>155****0885‎‎‎‬‬‬</v>
          </cell>
        </row>
        <row r="173">
          <cell r="G173" t="str">
            <v>SF3266273769420</v>
          </cell>
          <cell r="H173" t="str">
            <v>131****2614</v>
          </cell>
        </row>
        <row r="174">
          <cell r="A174" t="str">
            <v>SF3268277986250</v>
          </cell>
        </row>
        <row r="174">
          <cell r="C174" t="str">
            <v>177****5688‎‎‎‬‬‬</v>
          </cell>
        </row>
        <row r="174">
          <cell r="G174" t="str">
            <v>SF3266238709946</v>
          </cell>
          <cell r="H174" t="str">
            <v>186****6788</v>
          </cell>
        </row>
        <row r="175">
          <cell r="A175" t="str">
            <v>SF5106557446982</v>
          </cell>
        </row>
        <row r="175">
          <cell r="C175" t="str">
            <v>177****5688‎‎‎‬‬‬</v>
          </cell>
        </row>
        <row r="175">
          <cell r="G175" t="str">
            <v>SF3261485880842</v>
          </cell>
          <cell r="H175" t="str">
            <v>186****6788</v>
          </cell>
        </row>
        <row r="176">
          <cell r="A176" t="str">
            <v>SF5106557446946</v>
          </cell>
        </row>
        <row r="176">
          <cell r="C176" t="str">
            <v>177****5688‎‎‎‬‬‬</v>
          </cell>
        </row>
        <row r="176">
          <cell r="G176" t="str">
            <v>SF3261485888202</v>
          </cell>
          <cell r="H176" t="str">
            <v>186****6788</v>
          </cell>
        </row>
        <row r="177">
          <cell r="A177" t="str">
            <v>SF5105265169872</v>
          </cell>
        </row>
        <row r="177">
          <cell r="C177" t="str">
            <v>155****0885‎‎‎‬‬‬</v>
          </cell>
        </row>
        <row r="177">
          <cell r="G177" t="str">
            <v>SF3261762960340</v>
          </cell>
          <cell r="H177" t="str">
            <v>131****2614</v>
          </cell>
        </row>
        <row r="178">
          <cell r="A178" t="str">
            <v>SF3268714724220</v>
          </cell>
          <cell r="B178" t="str">
            <v>立充充电宝取机柜-物流服务</v>
          </cell>
          <cell r="C178" t="str">
            <v>186****6788‎‎‎‬‬‬</v>
          </cell>
        </row>
        <row r="178">
          <cell r="G178" t="str">
            <v>SF3261793913657</v>
          </cell>
          <cell r="H178" t="str">
            <v>186****6788</v>
          </cell>
        </row>
        <row r="179">
          <cell r="A179" t="str">
            <v>SF5127722204781,SF2074509697134</v>
          </cell>
          <cell r="B179" t="str">
            <v>立充充电宝取机柜-物流服务</v>
          </cell>
          <cell r="C179" t="str">
            <v>186****6788‎‎‎‬‬‬</v>
          </cell>
        </row>
        <row r="179">
          <cell r="G179" t="str">
            <v>SF3268270973716</v>
          </cell>
          <cell r="H179" t="str">
            <v>131****2614</v>
          </cell>
        </row>
        <row r="180">
          <cell r="A180" t="str">
            <v>SF5106979506489</v>
          </cell>
          <cell r="B180" t="str">
            <v>立充充电宝取机柜-物流服务</v>
          </cell>
          <cell r="C180" t="str">
            <v>186****6788‎‎‎‬‬‬</v>
          </cell>
        </row>
        <row r="180">
          <cell r="G180" t="str">
            <v>SF3261642298877</v>
          </cell>
          <cell r="H180" t="str">
            <v>186****6788</v>
          </cell>
        </row>
        <row r="181">
          <cell r="A181" t="str">
            <v>SF5106970083922</v>
          </cell>
          <cell r="B181" t="str">
            <v>立充充电宝取机柜-物流服务</v>
          </cell>
          <cell r="C181" t="str">
            <v>186****6788‎‎‎‬‬‬</v>
          </cell>
        </row>
        <row r="181">
          <cell r="G181" t="str">
            <v>SF3260956999481</v>
          </cell>
          <cell r="H181" t="str">
            <v>136****7868</v>
          </cell>
        </row>
        <row r="182">
          <cell r="A182" t="str">
            <v>SF3268545240764</v>
          </cell>
          <cell r="B182" t="str">
            <v>立充充电宝取机柜-物流服务</v>
          </cell>
          <cell r="C182" t="str">
            <v>155****0885‎‎‎‬‬‬</v>
          </cell>
        </row>
        <row r="182">
          <cell r="G182" t="str">
            <v>SF3269495090258</v>
          </cell>
          <cell r="H182" t="str">
            <v>134****9085</v>
          </cell>
        </row>
        <row r="183">
          <cell r="A183" t="str">
            <v>SF5106997533365</v>
          </cell>
          <cell r="B183" t="str">
            <v>立充充电宝取机柜-物流服务</v>
          </cell>
          <cell r="C183" t="str">
            <v>155****0885‎‎‎‬‬‬</v>
          </cell>
        </row>
        <row r="183">
          <cell r="G183" t="str">
            <v>SF3269768176117</v>
          </cell>
          <cell r="H183" t="str">
            <v>131****2614</v>
          </cell>
        </row>
        <row r="184">
          <cell r="A184" t="str">
            <v>SF5127766316133</v>
          </cell>
          <cell r="B184" t="str">
            <v>立充充电宝取机柜-物流服务</v>
          </cell>
          <cell r="C184" t="str">
            <v>155****0885‎‎‎‬‬‬</v>
          </cell>
        </row>
        <row r="184">
          <cell r="G184" t="str">
            <v>SF3269768176320</v>
          </cell>
          <cell r="H184" t="str">
            <v>131****2614</v>
          </cell>
        </row>
        <row r="185">
          <cell r="A185" t="str">
            <v>SF3268571425528</v>
          </cell>
          <cell r="B185" t="str">
            <v>立充充电宝取机柜-物流服务</v>
          </cell>
          <cell r="C185" t="str">
            <v>186****6788‎‎‎‬‬‬</v>
          </cell>
        </row>
        <row r="185">
          <cell r="G185" t="str">
            <v>SF3269707179242</v>
          </cell>
          <cell r="H185" t="str">
            <v>131****2614</v>
          </cell>
        </row>
        <row r="186">
          <cell r="A186" t="str">
            <v>SF5106901786306</v>
          </cell>
          <cell r="B186" t="str">
            <v>立充充电宝取机柜-物流服务</v>
          </cell>
          <cell r="C186" t="str">
            <v>186****6788‎‎‎‬‬‬</v>
          </cell>
        </row>
        <row r="186">
          <cell r="G186" t="str">
            <v>SF3278720614683</v>
          </cell>
          <cell r="H186" t="str">
            <v>186****6788</v>
          </cell>
        </row>
        <row r="187">
          <cell r="A187" t="str">
            <v>SF5106096474396</v>
          </cell>
          <cell r="B187" t="str">
            <v>立充充电宝取机柜-物流服务</v>
          </cell>
          <cell r="C187" t="str">
            <v>166****7945‎‎‎‬‬‬</v>
          </cell>
        </row>
        <row r="187">
          <cell r="G187" t="str">
            <v>SF3278938439192</v>
          </cell>
          <cell r="H187" t="str">
            <v>186****6788</v>
          </cell>
        </row>
        <row r="188">
          <cell r="A188" t="str">
            <v>SF3268857237271</v>
          </cell>
          <cell r="B188" t="str">
            <v>立充充电宝取机柜-物流服务</v>
          </cell>
          <cell r="C188" t="str">
            <v>166****7945‎‎‎‬‬‬</v>
          </cell>
        </row>
        <row r="188">
          <cell r="G188" t="str">
            <v>SF3278024325817</v>
          </cell>
          <cell r="H188" t="str">
            <v>136****7868</v>
          </cell>
        </row>
        <row r="189">
          <cell r="A189" t="str">
            <v>SF5106096472069</v>
          </cell>
          <cell r="B189" t="str">
            <v>立充充电宝取机柜-物流服务</v>
          </cell>
          <cell r="C189" t="str">
            <v>166****7945‎‎‎‬‬‬</v>
          </cell>
        </row>
        <row r="189">
          <cell r="G189" t="str">
            <v>SF3262727683329</v>
          </cell>
          <cell r="H189" t="str">
            <v>186****6788</v>
          </cell>
        </row>
        <row r="190">
          <cell r="A190" t="str">
            <v>SF3268857235281</v>
          </cell>
          <cell r="B190" t="str">
            <v>立充充电宝取机柜-物流服务</v>
          </cell>
          <cell r="C190" t="str">
            <v>166****7945‎‎‎‬‬‬</v>
          </cell>
        </row>
        <row r="190">
          <cell r="G190" t="str">
            <v>SF3262870171747</v>
          </cell>
          <cell r="H190" t="str">
            <v>134****9085</v>
          </cell>
        </row>
        <row r="191">
          <cell r="A191" t="str">
            <v>SF3268857238114</v>
          </cell>
          <cell r="B191" t="str">
            <v>立充充电宝取机柜-物流服务</v>
          </cell>
          <cell r="C191" t="str">
            <v>166****7945‎‎‎‬‬‬</v>
          </cell>
        </row>
        <row r="191">
          <cell r="G191" t="str">
            <v>SF3274475500278</v>
          </cell>
          <cell r="H191" t="str">
            <v>131****2614</v>
          </cell>
        </row>
        <row r="192">
          <cell r="A192" t="str">
            <v>SF3268857238141</v>
          </cell>
          <cell r="B192" t="str">
            <v>立充充电宝取机柜-物流服务</v>
          </cell>
          <cell r="C192" t="str">
            <v>166****7945‎‎‎‬‬‬</v>
          </cell>
        </row>
        <row r="192">
          <cell r="G192" t="str">
            <v>SF3274493624610</v>
          </cell>
          <cell r="H192" t="str">
            <v>134****6101</v>
          </cell>
        </row>
        <row r="193">
          <cell r="A193" t="str">
            <v>SF5106096472184</v>
          </cell>
          <cell r="B193" t="str">
            <v>立充充电宝取机柜-物流服务</v>
          </cell>
          <cell r="C193" t="str">
            <v>166****7945‎‎‎‬‬‬</v>
          </cell>
        </row>
        <row r="193">
          <cell r="G193" t="str">
            <v>SF3274418591644</v>
          </cell>
          <cell r="H193" t="str">
            <v>134****6101</v>
          </cell>
        </row>
        <row r="194">
          <cell r="A194" t="str">
            <v>SF3268857238618</v>
          </cell>
          <cell r="B194" t="str">
            <v>立充充电宝取机柜-物流服务</v>
          </cell>
          <cell r="C194" t="str">
            <v>166****7945‎‎‎‬‬‬</v>
          </cell>
        </row>
        <row r="194">
          <cell r="G194" t="str">
            <v>SF3262608338851</v>
          </cell>
          <cell r="H194" t="str">
            <v>134****6101</v>
          </cell>
        </row>
        <row r="195">
          <cell r="A195" t="str">
            <v>SF5106055396564</v>
          </cell>
          <cell r="B195" t="str">
            <v>立充充电宝取机柜-物流服务</v>
          </cell>
          <cell r="C195" t="str">
            <v>186****6788‎‎‎‬‬‬</v>
          </cell>
        </row>
        <row r="195">
          <cell r="G195" t="str">
            <v>SF3274773696978</v>
          </cell>
          <cell r="H195" t="str">
            <v>186****6788</v>
          </cell>
        </row>
        <row r="196">
          <cell r="A196" t="str">
            <v>SF3268641340217</v>
          </cell>
          <cell r="B196" t="str">
            <v>立充充电宝取机柜-物流服务</v>
          </cell>
          <cell r="C196" t="str">
            <v>186****6788‎‎‎‬‬‬</v>
          </cell>
        </row>
        <row r="196">
          <cell r="G196" t="str">
            <v>SF3262148981628</v>
          </cell>
          <cell r="H196" t="str">
            <v>134****6101</v>
          </cell>
        </row>
        <row r="197">
          <cell r="A197" t="str">
            <v>SF3268640416024</v>
          </cell>
          <cell r="B197" t="str">
            <v>立充充电宝取机柜-物流服务</v>
          </cell>
          <cell r="C197" t="str">
            <v>186****6788‎‎‎‬‬‬</v>
          </cell>
        </row>
        <row r="197">
          <cell r="G197" t="str">
            <v>SF3262146923187</v>
          </cell>
          <cell r="H197" t="str">
            <v>134****6101</v>
          </cell>
        </row>
        <row r="198">
          <cell r="A198" t="str">
            <v>SF3268640105742</v>
          </cell>
          <cell r="B198" t="str">
            <v>立充充电宝取机柜-物流服务</v>
          </cell>
          <cell r="C198" t="str">
            <v>186****6788‎‎‎‬‬‬</v>
          </cell>
        </row>
        <row r="198">
          <cell r="G198" t="str">
            <v>SF3262146923178</v>
          </cell>
          <cell r="H198" t="str">
            <v>134****6101</v>
          </cell>
        </row>
        <row r="199">
          <cell r="A199" t="str">
            <v>SF3268649653701</v>
          </cell>
          <cell r="B199" t="str">
            <v>立充充电宝取机柜-物流服务</v>
          </cell>
          <cell r="C199" t="str">
            <v>186****6788‎‎‎‬‬‬</v>
          </cell>
        </row>
        <row r="199">
          <cell r="G199" t="str">
            <v>SF3274976461103</v>
          </cell>
          <cell r="H199" t="str">
            <v>186****6788</v>
          </cell>
        </row>
        <row r="200">
          <cell r="A200" t="str">
            <v>SF3268649653710</v>
          </cell>
          <cell r="B200" t="str">
            <v>立充充电宝取机柜-物流服务</v>
          </cell>
          <cell r="C200" t="str">
            <v>186****6788‎‎‎‬‬‬</v>
          </cell>
        </row>
        <row r="200">
          <cell r="G200" t="str">
            <v>SF3262003984120</v>
          </cell>
          <cell r="H200" t="str">
            <v>186****6788</v>
          </cell>
        </row>
        <row r="201">
          <cell r="A201" t="str">
            <v>SF3268642706160</v>
          </cell>
          <cell r="B201" t="str">
            <v>立充充电宝取机柜-物流服务</v>
          </cell>
          <cell r="C201" t="str">
            <v>186****6788‎‎‎‬‬‬</v>
          </cell>
        </row>
        <row r="201">
          <cell r="G201" t="str">
            <v>SF3262025177660</v>
          </cell>
          <cell r="H201" t="str">
            <v>186****6788</v>
          </cell>
        </row>
        <row r="202">
          <cell r="A202" t="str">
            <v>SF5106184982867</v>
          </cell>
          <cell r="B202" t="str">
            <v>立充充电宝取机柜-物流服务</v>
          </cell>
          <cell r="C202" t="str">
            <v>186****6788‎‎‎‬‬‬</v>
          </cell>
        </row>
        <row r="202">
          <cell r="G202" t="str">
            <v>SF3262025177518</v>
          </cell>
          <cell r="H202" t="str">
            <v>186****6788</v>
          </cell>
        </row>
        <row r="203">
          <cell r="A203" t="str">
            <v>SF5106696869484</v>
          </cell>
          <cell r="B203" t="str">
            <v>立充充电宝取机柜-物流服务</v>
          </cell>
          <cell r="C203" t="str">
            <v>180****5919‎‎‎‬‬‬</v>
          </cell>
        </row>
        <row r="203">
          <cell r="G203" t="str">
            <v>SF3262025177572</v>
          </cell>
          <cell r="H203" t="str">
            <v>186****6788</v>
          </cell>
        </row>
        <row r="204">
          <cell r="A204" t="str">
            <v>SF5106531594533</v>
          </cell>
          <cell r="B204" t="str">
            <v>立充充电宝取机柜-物流服务</v>
          </cell>
          <cell r="C204" t="str">
            <v>186****6788‎‎‎‬‬‬</v>
          </cell>
        </row>
        <row r="204">
          <cell r="G204" t="str">
            <v>SF3295365022962</v>
          </cell>
          <cell r="H204" t="str">
            <v>186****6788</v>
          </cell>
        </row>
        <row r="205">
          <cell r="A205" t="str">
            <v>SF3268275983358</v>
          </cell>
          <cell r="B205" t="str">
            <v>立充充电宝取机柜-物流服务</v>
          </cell>
          <cell r="C205" t="str">
            <v>150****3407‎‎‎‬‬‬</v>
          </cell>
        </row>
        <row r="205">
          <cell r="G205" t="str">
            <v>SF3262372954357</v>
          </cell>
          <cell r="H205" t="str">
            <v>134****6101</v>
          </cell>
        </row>
        <row r="206">
          <cell r="A206" t="str">
            <v>SF3268275983233</v>
          </cell>
          <cell r="B206" t="str">
            <v>立充充电宝取机柜-物流服务</v>
          </cell>
          <cell r="C206" t="str">
            <v>150****3407‎‎‎‬‬‬</v>
          </cell>
        </row>
        <row r="206">
          <cell r="G206" t="str">
            <v>SF5106905958549</v>
          </cell>
          <cell r="H206" t="str">
            <v>165****7666</v>
          </cell>
        </row>
        <row r="207">
          <cell r="A207" t="str">
            <v>SF5105887343533</v>
          </cell>
          <cell r="B207" t="str">
            <v>立充充电宝取机柜-物流服务</v>
          </cell>
          <cell r="C207" t="str">
            <v>186****6788‎‎‎‬‬‬</v>
          </cell>
        </row>
        <row r="207">
          <cell r="G207" t="str">
            <v>SF3268277986250</v>
          </cell>
          <cell r="H207" t="str">
            <v>130****4667</v>
          </cell>
        </row>
        <row r="208">
          <cell r="A208" t="str">
            <v>SF3266463665558</v>
          </cell>
          <cell r="B208" t="str">
            <v>立充充电宝取机柜-物流服务</v>
          </cell>
          <cell r="C208" t="str">
            <v>186****6788‎‎‎‬‬‬</v>
          </cell>
        </row>
        <row r="208">
          <cell r="G208" t="str">
            <v>SF5106557446982</v>
          </cell>
          <cell r="H208" t="str">
            <v>130****4667</v>
          </cell>
        </row>
        <row r="209">
          <cell r="A209" t="str">
            <v>SF5105010407334</v>
          </cell>
          <cell r="B209" t="str">
            <v>立充充电宝取机柜-物流服务</v>
          </cell>
          <cell r="C209" t="str">
            <v>186****6788‎‎‎‬‬‬</v>
          </cell>
        </row>
        <row r="209">
          <cell r="G209" t="str">
            <v>SF5106557446946</v>
          </cell>
          <cell r="H209" t="str">
            <v>130****4667</v>
          </cell>
        </row>
        <row r="210">
          <cell r="A210" t="str">
            <v>SF5105173489237</v>
          </cell>
          <cell r="B210" t="str">
            <v>立充充电宝取机柜-物流服务</v>
          </cell>
          <cell r="C210" t="str">
            <v>186****6788‎‎‎‬‬‬</v>
          </cell>
        </row>
        <row r="210">
          <cell r="G210" t="str">
            <v>SF5105265169872</v>
          </cell>
          <cell r="H210" t="str">
            <v>165****7666</v>
          </cell>
        </row>
        <row r="211">
          <cell r="A211" t="str">
            <v>SF3266892906667</v>
          </cell>
          <cell r="B211" t="str">
            <v>立充充电宝取机柜-物流服务</v>
          </cell>
          <cell r="C211" t="str">
            <v>150****3407‎‎‎‬‬‬</v>
          </cell>
        </row>
        <row r="211">
          <cell r="G211" t="str">
            <v>SF5105396640521</v>
          </cell>
          <cell r="H211" t="str">
            <v>130****4667</v>
          </cell>
        </row>
        <row r="212">
          <cell r="A212" t="str">
            <v>SF5105657091133</v>
          </cell>
          <cell r="B212" t="str">
            <v>立充充电宝取机柜-物流服务</v>
          </cell>
          <cell r="C212" t="str">
            <v>186****6788‎‎‎‬‬‬</v>
          </cell>
        </row>
        <row r="212">
          <cell r="G212" t="str">
            <v>SF3266602183406</v>
          </cell>
          <cell r="H212" t="str">
            <v>130****4667</v>
          </cell>
        </row>
        <row r="213">
          <cell r="A213" t="str">
            <v>SF3266054338598</v>
          </cell>
          <cell r="B213" t="str">
            <v>立充充电宝取机柜-物流服务</v>
          </cell>
          <cell r="C213" t="str">
            <v>186****6788‎‎‎‬‬‬</v>
          </cell>
        </row>
        <row r="213">
          <cell r="G213" t="str">
            <v>SF5105396640503</v>
          </cell>
          <cell r="H213" t="str">
            <v>130****4667</v>
          </cell>
        </row>
        <row r="214">
          <cell r="A214" t="str">
            <v>SF3266932456474</v>
          </cell>
          <cell r="B214" t="str">
            <v>立充充电宝取机柜-物流服务</v>
          </cell>
          <cell r="C214" t="str">
            <v>150****3407‎‎‎‬‬‬</v>
          </cell>
        </row>
        <row r="214">
          <cell r="G214" t="str">
            <v>SF5105690421611</v>
          </cell>
          <cell r="H214" t="str">
            <v>130****4667</v>
          </cell>
        </row>
        <row r="215">
          <cell r="A215" t="str">
            <v>SF3266932454448</v>
          </cell>
          <cell r="B215" t="str">
            <v>立充充电宝取机柜-物流服务</v>
          </cell>
          <cell r="C215" t="str">
            <v>150****3407‎‎‎‬‬‬</v>
          </cell>
        </row>
        <row r="215">
          <cell r="G215" t="str">
            <v>SF5105690421639</v>
          </cell>
          <cell r="H215" t="str">
            <v>130****4667</v>
          </cell>
        </row>
        <row r="216">
          <cell r="A216" t="str">
            <v>SF3266932455974</v>
          </cell>
          <cell r="B216" t="str">
            <v>立充充电宝取机柜-物流服务</v>
          </cell>
          <cell r="C216" t="str">
            <v>150****3407‎‎‎‬‬‬</v>
          </cell>
        </row>
        <row r="216">
          <cell r="G216" t="str">
            <v>SF3266197654250</v>
          </cell>
          <cell r="H216" t="str">
            <v>130****4667</v>
          </cell>
        </row>
        <row r="217">
          <cell r="A217" t="str">
            <v>SF3266932451515</v>
          </cell>
          <cell r="B217" t="str">
            <v>立充充电宝取机柜-物流服务</v>
          </cell>
          <cell r="C217" t="str">
            <v>150****3407‎‎‎‬‬‬</v>
          </cell>
        </row>
        <row r="217">
          <cell r="G217" t="str">
            <v>SF3266197122254</v>
          </cell>
          <cell r="H217" t="str">
            <v>130****4667</v>
          </cell>
        </row>
        <row r="218">
          <cell r="A218" t="str">
            <v>SF3266932451897</v>
          </cell>
          <cell r="B218" t="str">
            <v>立充充电宝取机柜-物流服务</v>
          </cell>
          <cell r="C218" t="str">
            <v>150****3407‎‎‎‬‬‬</v>
          </cell>
        </row>
        <row r="218">
          <cell r="G218" t="str">
            <v>SF5105690797305</v>
          </cell>
          <cell r="H218" t="str">
            <v>130****4667</v>
          </cell>
        </row>
        <row r="219">
          <cell r="A219" t="str">
            <v>SF3266273769420</v>
          </cell>
          <cell r="B219" t="str">
            <v>立充充电宝取机柜-物流服务</v>
          </cell>
          <cell r="C219" t="str">
            <v>150****3407‎‎‎‬‬‬</v>
          </cell>
        </row>
        <row r="219">
          <cell r="G219" t="str">
            <v>SF3266197122263</v>
          </cell>
          <cell r="H219" t="str">
            <v>130****4667</v>
          </cell>
        </row>
        <row r="220">
          <cell r="A220" t="str">
            <v>SF3266238709946</v>
          </cell>
          <cell r="B220" t="str">
            <v>立充充电宝取机柜-物流服务</v>
          </cell>
          <cell r="C220" t="str">
            <v>186****6788‎‎‎‬‬‬</v>
          </cell>
        </row>
        <row r="220">
          <cell r="G220" t="str">
            <v>SF3261870367529</v>
          </cell>
          <cell r="H220" t="str">
            <v>130****4667</v>
          </cell>
        </row>
        <row r="221">
          <cell r="A221" t="str">
            <v>SF3261485880842</v>
          </cell>
          <cell r="B221" t="str">
            <v>立充充电宝取机柜-物流服务</v>
          </cell>
          <cell r="C221" t="str">
            <v>186****6788‎‎‎‬‬‬</v>
          </cell>
        </row>
        <row r="221">
          <cell r="G221" t="str">
            <v>SF3261870367404</v>
          </cell>
          <cell r="H221" t="str">
            <v>130****4667</v>
          </cell>
        </row>
        <row r="222">
          <cell r="A222" t="str">
            <v>SF3261485888202</v>
          </cell>
          <cell r="B222" t="str">
            <v>立充充电宝取机柜-物流服务</v>
          </cell>
          <cell r="C222" t="str">
            <v>186****6788‎‎‎‬‬‬</v>
          </cell>
        </row>
        <row r="222">
          <cell r="G222" t="str">
            <v>SF3260488518614</v>
          </cell>
          <cell r="H222" t="str">
            <v>130****4667</v>
          </cell>
        </row>
        <row r="223">
          <cell r="A223" t="str">
            <v>SF3261762960340</v>
          </cell>
          <cell r="B223" t="str">
            <v>立充充电宝取机柜-物流服务</v>
          </cell>
          <cell r="C223" t="str">
            <v>150****3407‎‎‎‬‬‬</v>
          </cell>
        </row>
        <row r="223">
          <cell r="G223" t="str">
            <v>SF3260488516087</v>
          </cell>
          <cell r="H223" t="str">
            <v>130****4667</v>
          </cell>
        </row>
        <row r="224">
          <cell r="A224" t="str">
            <v>SF3261793913657</v>
          </cell>
          <cell r="B224" t="str">
            <v>立充充电宝取机柜-物流服务</v>
          </cell>
          <cell r="C224" t="str">
            <v>186****6788‎‎‎‬‬‬</v>
          </cell>
        </row>
        <row r="224">
          <cell r="G224" t="str">
            <v>SF3260488516023</v>
          </cell>
          <cell r="H224" t="str">
            <v>130****4667</v>
          </cell>
        </row>
        <row r="225">
          <cell r="A225" t="str">
            <v>SF3268270973716</v>
          </cell>
          <cell r="B225" t="str">
            <v>立充充电宝取机柜-物流服务</v>
          </cell>
          <cell r="C225" t="str">
            <v>150****3407‎‎‎‬‬‬</v>
          </cell>
        </row>
        <row r="225">
          <cell r="G225" t="str">
            <v>SF3260488516906</v>
          </cell>
          <cell r="H225" t="str">
            <v>130****4667</v>
          </cell>
        </row>
        <row r="226">
          <cell r="A226" t="str">
            <v>SF3261642298877</v>
          </cell>
          <cell r="B226" t="str">
            <v>立充充电宝取机柜-物流服务</v>
          </cell>
          <cell r="C226" t="str">
            <v>186****6788‎‎‎‬‬‬</v>
          </cell>
        </row>
        <row r="226">
          <cell r="G226" t="str">
            <v>SF3260488516979</v>
          </cell>
          <cell r="H226" t="str">
            <v>130****4667</v>
          </cell>
        </row>
        <row r="227">
          <cell r="A227" t="str">
            <v>SF3260956999481</v>
          </cell>
          <cell r="B227" t="str">
            <v>立充充电宝取机柜-物流服务</v>
          </cell>
          <cell r="C227" t="str">
            <v>136****9012‎‎‎‬‬‬</v>
          </cell>
        </row>
        <row r="227">
          <cell r="G227" t="str">
            <v>SF3260488516096</v>
          </cell>
          <cell r="H227" t="str">
            <v>130****4667</v>
          </cell>
        </row>
        <row r="228">
          <cell r="A228" t="str">
            <v>SF3269495090258</v>
          </cell>
          <cell r="B228" t="str">
            <v>立充充电宝取机柜-物流服务</v>
          </cell>
          <cell r="C228" t="str">
            <v>158****6590‎‎‎‬‬‬</v>
          </cell>
        </row>
        <row r="228">
          <cell r="G228" t="str">
            <v>SF2044463169466</v>
          </cell>
          <cell r="H228" t="str">
            <v>130****4667</v>
          </cell>
        </row>
        <row r="229">
          <cell r="A229" t="str">
            <v>SF3269768176117</v>
          </cell>
          <cell r="B229" t="str">
            <v>立充充电宝取机柜-物流服务</v>
          </cell>
          <cell r="C229" t="str">
            <v>150****3407‎‎‎‬‬‬</v>
          </cell>
        </row>
        <row r="229">
          <cell r="G229" t="str">
            <v>SF3278806584111</v>
          </cell>
          <cell r="H229" t="str">
            <v>130****4667</v>
          </cell>
        </row>
        <row r="230">
          <cell r="A230" t="str">
            <v>SF3269768176320</v>
          </cell>
          <cell r="B230" t="str">
            <v>立充充电宝取机柜-物流服务</v>
          </cell>
          <cell r="C230" t="str">
            <v>150****3407‎‎‎‬‬‬</v>
          </cell>
        </row>
        <row r="230">
          <cell r="G230" t="str">
            <v>SF3269560078609</v>
          </cell>
          <cell r="H230" t="str">
            <v>130****4667</v>
          </cell>
        </row>
        <row r="231">
          <cell r="A231" t="str">
            <v>SF3269707179242</v>
          </cell>
          <cell r="B231" t="str">
            <v>立充充电宝取机柜-物流服务</v>
          </cell>
          <cell r="C231" t="str">
            <v>150****3407‎‎‎‬‬‬</v>
          </cell>
        </row>
        <row r="231">
          <cell r="G231" t="str">
            <v>SF3269691606001</v>
          </cell>
          <cell r="H231" t="str">
            <v>130****4667</v>
          </cell>
        </row>
        <row r="232">
          <cell r="A232" t="str">
            <v>SF3278720614683</v>
          </cell>
          <cell r="B232" t="str">
            <v>立充充电宝取机柜-物流服务</v>
          </cell>
          <cell r="C232" t="str">
            <v>186****6788‎‎‎‬‬‬</v>
          </cell>
        </row>
        <row r="232">
          <cell r="G232" t="str">
            <v>SF3278276131328</v>
          </cell>
          <cell r="H232" t="str">
            <v>130****4667</v>
          </cell>
        </row>
        <row r="233">
          <cell r="A233" t="str">
            <v>SF3278938439192</v>
          </cell>
          <cell r="B233" t="str">
            <v>立充充电宝取机柜-物流服务</v>
          </cell>
          <cell r="C233" t="str">
            <v>186****6788‎‎‎‬‬‬</v>
          </cell>
        </row>
        <row r="233">
          <cell r="G233" t="str">
            <v>SF3269691606126</v>
          </cell>
          <cell r="H233" t="str">
            <v>130****4667</v>
          </cell>
        </row>
        <row r="234">
          <cell r="A234" t="str">
            <v>SF3278024325817</v>
          </cell>
          <cell r="B234" t="str">
            <v>立充充电宝取机柜-物流服务</v>
          </cell>
          <cell r="C234" t="str">
            <v>180****5919‎‎‎‬‬‬</v>
          </cell>
        </row>
        <row r="234">
          <cell r="G234" t="str">
            <v>SF3278207454651</v>
          </cell>
          <cell r="H234" t="str">
            <v>165****7666</v>
          </cell>
        </row>
        <row r="235">
          <cell r="A235" t="str">
            <v>SF3262727683329</v>
          </cell>
          <cell r="B235" t="str">
            <v>立充充电宝取机柜-物流服务</v>
          </cell>
          <cell r="C235" t="str">
            <v>186****6788‎‎‎‬‬‬</v>
          </cell>
        </row>
        <row r="235">
          <cell r="G235" t="str">
            <v>SF3278052216034</v>
          </cell>
          <cell r="H235" t="str">
            <v>130****4667</v>
          </cell>
        </row>
        <row r="236">
          <cell r="A236" t="str">
            <v>SF3262870171747</v>
          </cell>
          <cell r="B236" t="str">
            <v>立充充电宝取机柜-物流服务</v>
          </cell>
          <cell r="C236" t="str">
            <v>137****6596‎‎‎‬‬‬</v>
          </cell>
        </row>
        <row r="236">
          <cell r="G236" t="str">
            <v>SF3278052216140</v>
          </cell>
          <cell r="H236" t="str">
            <v>130****4667</v>
          </cell>
        </row>
        <row r="237">
          <cell r="A237" t="str">
            <v>SF3274475500278</v>
          </cell>
          <cell r="B237" t="str">
            <v>立充充电宝取机柜-物流服务</v>
          </cell>
          <cell r="C237" t="str">
            <v>150****3407‎‎‎‬‬‬</v>
          </cell>
        </row>
        <row r="237">
          <cell r="G237" t="str">
            <v>SF3278052216016</v>
          </cell>
          <cell r="H237" t="str">
            <v>130****4667</v>
          </cell>
        </row>
        <row r="238">
          <cell r="A238" t="str">
            <v>SF3274493624610</v>
          </cell>
          <cell r="B238" t="str">
            <v>立充充电宝取机柜-物流服务</v>
          </cell>
          <cell r="C238" t="str">
            <v>166****7945‎‎‎‬‬‬</v>
          </cell>
        </row>
        <row r="238">
          <cell r="G238" t="str">
            <v>SF3262678910763</v>
          </cell>
          <cell r="H238" t="str">
            <v>130****4667</v>
          </cell>
        </row>
        <row r="239">
          <cell r="A239" t="str">
            <v>SF3274418591644</v>
          </cell>
          <cell r="B239" t="str">
            <v>立充充电宝取机柜-物流服务</v>
          </cell>
          <cell r="C239" t="str">
            <v>186****8030‎‎‎‬‬‬</v>
          </cell>
        </row>
        <row r="239">
          <cell r="G239" t="str">
            <v>SF3274279678760</v>
          </cell>
          <cell r="H239" t="str">
            <v>130****4667</v>
          </cell>
        </row>
        <row r="240">
          <cell r="A240" t="str">
            <v>SF3262608338851</v>
          </cell>
          <cell r="B240" t="str">
            <v>立充充电宝取机柜-物流服务</v>
          </cell>
          <cell r="C240" t="str">
            <v>166****7945‎‎‎‬‬‬</v>
          </cell>
        </row>
        <row r="240">
          <cell r="G240" t="str">
            <v>SF3262004097071</v>
          </cell>
          <cell r="H240" t="str">
            <v>130****4667</v>
          </cell>
        </row>
        <row r="241">
          <cell r="A241" t="str">
            <v>SF3274773696978</v>
          </cell>
          <cell r="B241" t="str">
            <v>立充充电宝取机柜-物流服务</v>
          </cell>
          <cell r="C241" t="str">
            <v>186****6788‎‎‎‬‬‬</v>
          </cell>
        </row>
        <row r="241">
          <cell r="G241" t="str">
            <v>SF3262004095742</v>
          </cell>
          <cell r="H241" t="str">
            <v>130****4667</v>
          </cell>
        </row>
        <row r="242">
          <cell r="A242" t="str">
            <v>SF3262148981628</v>
          </cell>
          <cell r="B242" t="str">
            <v>立充充电宝取机柜-物流服务</v>
          </cell>
          <cell r="C242" t="str">
            <v>166****7945‎‎‎‬‬‬</v>
          </cell>
        </row>
        <row r="242">
          <cell r="G242" t="str">
            <v>SF3262004095424</v>
          </cell>
          <cell r="H242" t="str">
            <v>130****4667</v>
          </cell>
        </row>
        <row r="243">
          <cell r="A243" t="str">
            <v>SF3262146923187</v>
          </cell>
          <cell r="B243" t="str">
            <v>立充充电宝取机柜-物流服务</v>
          </cell>
          <cell r="C243" t="str">
            <v>166****7945‎‎‎‬‬‬</v>
          </cell>
        </row>
        <row r="243">
          <cell r="G243" t="str">
            <v>SF3262004095497</v>
          </cell>
          <cell r="H243" t="str">
            <v>130****4667</v>
          </cell>
        </row>
        <row r="244">
          <cell r="A244" t="str">
            <v>SF3262146923178</v>
          </cell>
          <cell r="B244" t="str">
            <v>立充充电宝取机柜-物流服务</v>
          </cell>
          <cell r="C244" t="str">
            <v>166****7945‎‎‎‬‬‬</v>
          </cell>
        </row>
        <row r="245">
          <cell r="A245" t="str">
            <v>SF3274976461103</v>
          </cell>
          <cell r="B245" t="str">
            <v>立充充电宝取机柜-物流服务</v>
          </cell>
          <cell r="C245" t="str">
            <v>186****6788‎‎‎‬‬‬</v>
          </cell>
        </row>
        <row r="246">
          <cell r="A246" t="str">
            <v>SF3262003984120</v>
          </cell>
          <cell r="B246" t="str">
            <v>立充充电宝取机柜-物流服务</v>
          </cell>
          <cell r="C246" t="str">
            <v>186****6788‎‎‎‬‬‬</v>
          </cell>
        </row>
        <row r="247">
          <cell r="A247" t="str">
            <v>SF3262025177660</v>
          </cell>
          <cell r="B247" t="str">
            <v>立充充电宝取机柜-物流服务</v>
          </cell>
          <cell r="C247" t="str">
            <v>186****6788‎‎‎‬‬‬</v>
          </cell>
        </row>
        <row r="248">
          <cell r="A248" t="str">
            <v>SF3262025177518</v>
          </cell>
          <cell r="B248" t="str">
            <v>立充充电宝取机柜-物流服务</v>
          </cell>
          <cell r="C248" t="str">
            <v>186****6788‎‎‎‬‬‬</v>
          </cell>
        </row>
        <row r="249">
          <cell r="A249" t="str">
            <v>SF3262025177572</v>
          </cell>
          <cell r="B249" t="str">
            <v>立充充电宝取机柜-物流服务</v>
          </cell>
          <cell r="C249" t="str">
            <v>186****6788‎‎‎‬‬‬</v>
          </cell>
        </row>
        <row r="250">
          <cell r="A250" t="str">
            <v>SF3295365022962</v>
          </cell>
          <cell r="B250" t="str">
            <v>立充充电宝取机柜-物流服务</v>
          </cell>
          <cell r="C250" t="str">
            <v>186****6788‎‎‎‬‬‬</v>
          </cell>
        </row>
        <row r="251">
          <cell r="A251" t="str">
            <v>SF3262372954357</v>
          </cell>
          <cell r="B251" t="str">
            <v>立充充电宝取机柜-物流服务</v>
          </cell>
          <cell r="C251" t="str">
            <v>184****1003‎‎‎‬‬‬</v>
          </cell>
        </row>
        <row r="252">
          <cell r="A252" t="str">
            <v>SF5106905958549</v>
          </cell>
          <cell r="B252" t="str">
            <v>立充充电宝取机柜-仅服务</v>
          </cell>
          <cell r="C252" t="str">
            <v>155****0885‎‎‎‬‬‬</v>
          </cell>
        </row>
        <row r="253">
          <cell r="A253" t="str">
            <v>SF3268277986250</v>
          </cell>
          <cell r="B253" t="str">
            <v>立充充电宝取机柜-仅服务</v>
          </cell>
          <cell r="C253" t="str">
            <v>177****5688‎‎‎‬‬‬</v>
          </cell>
        </row>
        <row r="254">
          <cell r="A254" t="str">
            <v>SF5106557446982</v>
          </cell>
          <cell r="B254" t="str">
            <v>立充充电宝取机柜-仅服务</v>
          </cell>
          <cell r="C254" t="str">
            <v>177****5688‎‎‎‬‬‬</v>
          </cell>
        </row>
        <row r="255">
          <cell r="A255" t="str">
            <v>SF5106557446946</v>
          </cell>
          <cell r="B255" t="str">
            <v>立充充电宝取机柜-仅服务</v>
          </cell>
          <cell r="C255" t="str">
            <v>177****5688‎‎‎‬‬‬</v>
          </cell>
        </row>
        <row r="256">
          <cell r="A256" t="str">
            <v>SF5105265169872</v>
          </cell>
          <cell r="B256" t="str">
            <v>立充充电宝取机柜-仅服务</v>
          </cell>
          <cell r="C256" t="str">
            <v>155****0885‎‎‎‬‬‬</v>
          </cell>
        </row>
        <row r="257">
          <cell r="A257" t="str">
            <v>SF5105396640521</v>
          </cell>
          <cell r="B257" t="str">
            <v>立充充电宝取机柜-仅服务</v>
          </cell>
          <cell r="C257" t="str">
            <v>177****5688‎‎‎‬‬‬</v>
          </cell>
        </row>
        <row r="258">
          <cell r="A258" t="str">
            <v>SF3266602183406</v>
          </cell>
          <cell r="B258" t="str">
            <v>立充充电宝取机柜-仅服务</v>
          </cell>
          <cell r="C258" t="str">
            <v>177****5688‎‎‎‬‬‬</v>
          </cell>
        </row>
        <row r="259">
          <cell r="A259" t="str">
            <v>SF5105396640503</v>
          </cell>
          <cell r="B259" t="str">
            <v>立充充电宝取机柜-仅服务</v>
          </cell>
          <cell r="C259" t="str">
            <v>177****5688‎‎‎‬‬‬</v>
          </cell>
        </row>
        <row r="260">
          <cell r="A260" t="str">
            <v>SF5105690421611</v>
          </cell>
          <cell r="B260" t="str">
            <v>立充充电宝取机柜-仅服务</v>
          </cell>
          <cell r="C260" t="str">
            <v>177****5688‎‎‎‬‬‬</v>
          </cell>
        </row>
        <row r="261">
          <cell r="A261" t="str">
            <v>SF5105690421639</v>
          </cell>
          <cell r="B261" t="str">
            <v>立充充电宝取机柜-仅服务</v>
          </cell>
          <cell r="C261" t="str">
            <v>177****5688‎‎‎‬‬‬</v>
          </cell>
        </row>
        <row r="262">
          <cell r="A262" t="str">
            <v>SF3266197654250</v>
          </cell>
          <cell r="B262" t="str">
            <v>立充充电宝取机柜-仅服务</v>
          </cell>
          <cell r="C262" t="str">
            <v>177****5688‎‎‎‬‬‬</v>
          </cell>
        </row>
        <row r="263">
          <cell r="A263" t="str">
            <v>SF3266197122254</v>
          </cell>
          <cell r="B263" t="str">
            <v>立充充电宝取机柜-仅服务</v>
          </cell>
          <cell r="C263" t="str">
            <v>177****5688‎‎‎‬‬‬</v>
          </cell>
        </row>
        <row r="264">
          <cell r="A264" t="str">
            <v>SF5105690797305</v>
          </cell>
          <cell r="B264" t="str">
            <v>立充充电宝取机柜-仅服务</v>
          </cell>
          <cell r="C264" t="str">
            <v>177****5688‎‎‎‬‬‬</v>
          </cell>
        </row>
        <row r="265">
          <cell r="A265" t="str">
            <v>SF3266197122263</v>
          </cell>
          <cell r="B265" t="str">
            <v>立充充电宝取机柜-仅服务</v>
          </cell>
          <cell r="C265" t="str">
            <v>177****5688‎‎‎‬‬‬</v>
          </cell>
        </row>
        <row r="266">
          <cell r="A266" t="str">
            <v>SF3261870367529</v>
          </cell>
          <cell r="B266" t="str">
            <v>立充充电宝取机柜-仅服务</v>
          </cell>
          <cell r="C266" t="str">
            <v>177****5688‎‎‎‬‬‬</v>
          </cell>
        </row>
        <row r="267">
          <cell r="A267" t="str">
            <v>SF3261870367404</v>
          </cell>
          <cell r="B267" t="str">
            <v>立充充电宝取机柜-仅服务</v>
          </cell>
          <cell r="C267" t="str">
            <v>177****5688‎‎‎‬‬‬</v>
          </cell>
        </row>
        <row r="268">
          <cell r="A268" t="str">
            <v>SF3260488518614</v>
          </cell>
          <cell r="B268" t="str">
            <v>立充充电宝取机柜-仅服务</v>
          </cell>
          <cell r="C268" t="str">
            <v>177****5688‎‎‎‬‬‬</v>
          </cell>
        </row>
        <row r="269">
          <cell r="A269" t="str">
            <v>SF3260488516087</v>
          </cell>
          <cell r="B269" t="str">
            <v>立充充电宝取机柜-仅服务</v>
          </cell>
          <cell r="C269" t="str">
            <v>177****5688‎‎‎‬‬‬</v>
          </cell>
        </row>
        <row r="270">
          <cell r="A270" t="str">
            <v>SF3260488516023</v>
          </cell>
          <cell r="B270" t="str">
            <v>立充充电宝取机柜-仅服务</v>
          </cell>
          <cell r="C270" t="str">
            <v>177****5688‎‎‎‬‬‬</v>
          </cell>
        </row>
        <row r="271">
          <cell r="A271" t="str">
            <v>SF3260488516906</v>
          </cell>
          <cell r="B271" t="str">
            <v>立充充电宝取机柜-仅服务</v>
          </cell>
          <cell r="C271" t="str">
            <v>177****5688‎‎‎‬‬‬</v>
          </cell>
        </row>
        <row r="272">
          <cell r="A272" t="str">
            <v>SF3260488516979</v>
          </cell>
          <cell r="B272" t="str">
            <v>立充充电宝取机柜-仅服务</v>
          </cell>
          <cell r="C272" t="str">
            <v>177****5688‎‎‎‬‬‬</v>
          </cell>
        </row>
        <row r="273">
          <cell r="A273" t="str">
            <v>SF3260488516096,SF2044463169466</v>
          </cell>
          <cell r="B273" t="str">
            <v>立充充电宝取机柜-仅服务</v>
          </cell>
          <cell r="C273" t="str">
            <v>177****5688‎‎‎‬‬‬</v>
          </cell>
        </row>
        <row r="274">
          <cell r="A274" t="str">
            <v>SF3278806584111</v>
          </cell>
          <cell r="B274" t="str">
            <v>立充充电宝取机柜-仅服务</v>
          </cell>
          <cell r="C274" t="str">
            <v>177****5688‎‎‎‬‬‬</v>
          </cell>
        </row>
        <row r="275">
          <cell r="A275" t="str">
            <v>SF3269560078609</v>
          </cell>
          <cell r="B275" t="str">
            <v>立充充电宝取机柜-仅服务</v>
          </cell>
          <cell r="C275" t="str">
            <v>177****5688‎‎‎‬‬‬</v>
          </cell>
        </row>
        <row r="276">
          <cell r="A276" t="str">
            <v>SF3269691606001</v>
          </cell>
          <cell r="B276" t="str">
            <v>立充充电宝取机柜-仅服务</v>
          </cell>
          <cell r="C276" t="str">
            <v>177****5688‎‎‎‬‬‬</v>
          </cell>
        </row>
        <row r="277">
          <cell r="A277" t="str">
            <v>SF3278276131328</v>
          </cell>
          <cell r="B277" t="str">
            <v>立充充电宝取机柜-仅服务</v>
          </cell>
          <cell r="C277" t="str">
            <v>177****5688‎‎‎‬‬‬</v>
          </cell>
        </row>
        <row r="278">
          <cell r="A278" t="str">
            <v>SF3269691606126</v>
          </cell>
          <cell r="B278" t="str">
            <v>立充充电宝取机柜-仅服务</v>
          </cell>
          <cell r="C278" t="str">
            <v>177****5688‎‎‎‬‬‬</v>
          </cell>
        </row>
        <row r="279">
          <cell r="A279" t="str">
            <v>SF3278207454651</v>
          </cell>
          <cell r="B279" t="str">
            <v>立充充电宝取机柜-仅服务</v>
          </cell>
          <cell r="C279" t="str">
            <v>136****9012‎‎‎‬‬‬</v>
          </cell>
        </row>
        <row r="280">
          <cell r="A280" t="str">
            <v>SF3278052216034</v>
          </cell>
          <cell r="B280" t="str">
            <v>立充充电宝取机柜-仅服务</v>
          </cell>
          <cell r="C280" t="str">
            <v>177****5688‎‎‎‬‬‬</v>
          </cell>
        </row>
        <row r="281">
          <cell r="A281" t="str">
            <v>SF3278052216140</v>
          </cell>
          <cell r="B281" t="str">
            <v>立充充电宝取机柜-仅服务</v>
          </cell>
          <cell r="C281" t="str">
            <v>177****5688‎‎‎‬‬‬</v>
          </cell>
        </row>
        <row r="282">
          <cell r="A282" t="str">
            <v>SF3278052216016</v>
          </cell>
          <cell r="B282" t="str">
            <v>立充充电宝取机柜-仅服务</v>
          </cell>
          <cell r="C282" t="str">
            <v>177****5688‎‎‎‬‬‬</v>
          </cell>
        </row>
        <row r="283">
          <cell r="A283" t="str">
            <v>SF3262678910763</v>
          </cell>
          <cell r="B283" t="str">
            <v>立充充电宝取机柜-仅服务</v>
          </cell>
          <cell r="C283" t="str">
            <v>177****5688‎‎‎‬‬‬</v>
          </cell>
        </row>
        <row r="284">
          <cell r="A284" t="str">
            <v>SF3274279678760</v>
          </cell>
          <cell r="B284" t="str">
            <v>立充充电宝取机柜-仅服务</v>
          </cell>
          <cell r="C284" t="str">
            <v>177****5688‎‎‎‬‬‬</v>
          </cell>
        </row>
        <row r="285">
          <cell r="A285" t="str">
            <v>SF3262004097071</v>
          </cell>
          <cell r="B285" t="str">
            <v>立充充电宝取机柜-仅服务</v>
          </cell>
          <cell r="C285" t="str">
            <v>177****5688‎‎‎‬‬‬</v>
          </cell>
        </row>
        <row r="286">
          <cell r="A286" t="str">
            <v>SF3262004095742</v>
          </cell>
          <cell r="B286" t="str">
            <v>立充充电宝取机柜-仅服务</v>
          </cell>
          <cell r="C286" t="str">
            <v>177****5688‎‎‎‬‬‬</v>
          </cell>
        </row>
        <row r="287">
          <cell r="A287" t="str">
            <v>SF3262004095424</v>
          </cell>
          <cell r="B287" t="str">
            <v>立充充电宝取机柜-仅服务</v>
          </cell>
          <cell r="C287" t="str">
            <v>177****5688‎‎‎‬‬‬</v>
          </cell>
        </row>
        <row r="288">
          <cell r="A288" t="str">
            <v>SF3262004095497</v>
          </cell>
          <cell r="B288" t="str">
            <v>立充充电宝取机柜-仅服务</v>
          </cell>
          <cell r="C288" t="str">
            <v>177****5688‎‎‎‬‬‬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账单总览"/>
      <sheetName val="账单明细"/>
      <sheetName val="月结报告"/>
      <sheetName val="1月订单明细"/>
      <sheetName val="Sheet2"/>
    </sheetNames>
    <sheetDataSet>
      <sheetData sheetId="0"/>
      <sheetData sheetId="1"/>
      <sheetData sheetId="2"/>
      <sheetData sheetId="3"/>
      <sheetData sheetId="4">
        <row r="1">
          <cell r="A1" t="str">
            <v>运单号</v>
          </cell>
          <cell r="B1" t="str">
            <v>任务类型</v>
          </cell>
          <cell r="C1" t="str">
            <v>收件手机</v>
          </cell>
        </row>
        <row r="1">
          <cell r="G1" t="str">
            <v>SF5127617611694</v>
          </cell>
          <cell r="H1" t="str">
            <v>186****6788</v>
          </cell>
        </row>
        <row r="2">
          <cell r="A2" t="str">
            <v>SF5127617611694</v>
          </cell>
          <cell r="B2" t="str">
            <v>补宝-物流服务</v>
          </cell>
          <cell r="C2" t="str">
            <v>186****6788‎‎‎‬‬‬</v>
          </cell>
        </row>
        <row r="2">
          <cell r="G2" t="str">
            <v>SF5106821124886</v>
          </cell>
          <cell r="H2" t="str">
            <v>186****6788</v>
          </cell>
        </row>
        <row r="3">
          <cell r="A3" t="str">
            <v>SF5106821124886</v>
          </cell>
          <cell r="B3" t="str">
            <v>补宝-物流服务</v>
          </cell>
          <cell r="C3" t="str">
            <v>186****6788‎‎‎‬‬‬</v>
          </cell>
        </row>
        <row r="3">
          <cell r="G3" t="str">
            <v>SF5106834884492</v>
          </cell>
          <cell r="H3" t="str">
            <v>186****6788</v>
          </cell>
        </row>
        <row r="4">
          <cell r="A4" t="str">
            <v>SF5106834884492</v>
          </cell>
          <cell r="B4" t="str">
            <v>补宝-物流服务</v>
          </cell>
          <cell r="C4" t="str">
            <v>186****6788‎‎‎‬‬‬</v>
          </cell>
        </row>
        <row r="4">
          <cell r="G4" t="str">
            <v>SF5103369030090</v>
          </cell>
          <cell r="H4" t="str">
            <v>137****3997</v>
          </cell>
        </row>
        <row r="5">
          <cell r="A5" t="str">
            <v>SF5103369030090</v>
          </cell>
          <cell r="B5" t="str">
            <v>补宝-仅物流</v>
          </cell>
          <cell r="C5" t="str">
            <v>137****3997‎‎‎‬‬‬</v>
          </cell>
        </row>
        <row r="5">
          <cell r="G5" t="str">
            <v>SF3267130908673</v>
          </cell>
          <cell r="H5" t="str">
            <v>134****9085</v>
          </cell>
        </row>
        <row r="6">
          <cell r="A6" t="str">
            <v>SF3267130908673</v>
          </cell>
          <cell r="B6" t="str">
            <v>取宝-物流服务</v>
          </cell>
          <cell r="C6" t="str">
            <v>166****7627‎‎‎‬‬‬</v>
          </cell>
        </row>
        <row r="6">
          <cell r="G6" t="str">
            <v>SF3267046169283</v>
          </cell>
          <cell r="H6" t="str">
            <v>134****9085</v>
          </cell>
        </row>
        <row r="7">
          <cell r="A7" t="str">
            <v>SF3267046169283</v>
          </cell>
          <cell r="B7" t="str">
            <v>取宝-物流服务</v>
          </cell>
          <cell r="C7" t="str">
            <v>166****7627‎‎‎‬‬‬</v>
          </cell>
        </row>
        <row r="7">
          <cell r="G7" t="str">
            <v>SF5127526237848</v>
          </cell>
          <cell r="H7" t="str">
            <v>186****6788</v>
          </cell>
        </row>
        <row r="8">
          <cell r="A8" t="str">
            <v>SF5127526237848</v>
          </cell>
          <cell r="B8" t="str">
            <v>取宝-物流服务</v>
          </cell>
          <cell r="C8" t="str">
            <v>186****6788‎‎‎‬‬‬</v>
          </cell>
        </row>
        <row r="8">
          <cell r="G8" t="str">
            <v>SF3265855044685</v>
          </cell>
          <cell r="H8" t="str">
            <v>186****6788</v>
          </cell>
        </row>
        <row r="9">
          <cell r="A9" t="str">
            <v>SF3265855044685</v>
          </cell>
          <cell r="B9" t="str">
            <v>取宝-物流服务</v>
          </cell>
          <cell r="C9" t="str">
            <v>186****6788‎‎‎‬‬‬</v>
          </cell>
        </row>
        <row r="9">
          <cell r="G9" t="str">
            <v>SF5103058067049</v>
          </cell>
          <cell r="H9" t="str">
            <v>186****6788</v>
          </cell>
        </row>
        <row r="10">
          <cell r="A10" t="str">
            <v>SF5103058067049</v>
          </cell>
          <cell r="B10" t="str">
            <v>取宝-物流服务</v>
          </cell>
          <cell r="C10" t="str">
            <v>186****6788‎‎‎‬‬‬</v>
          </cell>
        </row>
        <row r="10">
          <cell r="G10" t="str">
            <v>SF5103058067191</v>
          </cell>
          <cell r="H10" t="str">
            <v>186****6788</v>
          </cell>
        </row>
        <row r="11">
          <cell r="A11" t="str">
            <v>SF5103058067191</v>
          </cell>
          <cell r="B11" t="str">
            <v>取宝-物流服务</v>
          </cell>
          <cell r="C11" t="str">
            <v>186****6788‎‎‎‬‬‬</v>
          </cell>
        </row>
        <row r="11">
          <cell r="G11" t="str">
            <v>SF5127575538745</v>
          </cell>
          <cell r="H11" t="str">
            <v>186****6788</v>
          </cell>
        </row>
        <row r="12">
          <cell r="A12" t="str">
            <v>SF5127575538745</v>
          </cell>
          <cell r="B12" t="str">
            <v>取宝-物流服务</v>
          </cell>
          <cell r="C12" t="str">
            <v>186****6788‎‎‎‬‬‬</v>
          </cell>
        </row>
        <row r="12">
          <cell r="G12" t="str">
            <v>SF3265863387051</v>
          </cell>
          <cell r="H12" t="str">
            <v>186****6788</v>
          </cell>
        </row>
        <row r="13">
          <cell r="A13" t="str">
            <v>SF3265863387051</v>
          </cell>
          <cell r="B13" t="str">
            <v>取宝-物流服务</v>
          </cell>
          <cell r="C13" t="str">
            <v>186****6788‎‎‎‬‬‬</v>
          </cell>
        </row>
        <row r="13">
          <cell r="G13" t="str">
            <v>SF5106805988745</v>
          </cell>
          <cell r="H13" t="str">
            <v>186****6788</v>
          </cell>
        </row>
        <row r="14">
          <cell r="A14" t="str">
            <v>SF5106805988745</v>
          </cell>
          <cell r="B14" t="str">
            <v>取宝-物流服务</v>
          </cell>
          <cell r="C14" t="str">
            <v>186****6788‎‎‎‬‬‬</v>
          </cell>
        </row>
        <row r="14">
          <cell r="G14" t="str">
            <v>SF5106805179236</v>
          </cell>
          <cell r="H14" t="str">
            <v>186****6788</v>
          </cell>
        </row>
        <row r="15">
          <cell r="A15" t="str">
            <v>SF5106805179236</v>
          </cell>
          <cell r="B15" t="str">
            <v>取宝-物流服务</v>
          </cell>
          <cell r="C15" t="str">
            <v>186****6788‎‎‎‬‬‬</v>
          </cell>
        </row>
        <row r="15">
          <cell r="G15" t="str">
            <v>SF5103003341641</v>
          </cell>
          <cell r="H15" t="str">
            <v>186****6788</v>
          </cell>
        </row>
        <row r="16">
          <cell r="A16" t="str">
            <v>SF5103003341641</v>
          </cell>
          <cell r="B16" t="str">
            <v>立充充电宝取机柜-物流服务</v>
          </cell>
          <cell r="C16" t="str">
            <v>186****6788‎‎‎‬‬‬</v>
          </cell>
        </row>
        <row r="16">
          <cell r="G16" t="str">
            <v>SF3265889459944</v>
          </cell>
          <cell r="H16" t="str">
            <v>186****6788</v>
          </cell>
        </row>
        <row r="17">
          <cell r="A17" t="str">
            <v>SF3265889459944</v>
          </cell>
          <cell r="B17" t="str">
            <v>立充充电宝取机柜-物流服务</v>
          </cell>
          <cell r="C17" t="str">
            <v>186****6788‎‎‎‬‬‬</v>
          </cell>
        </row>
        <row r="17">
          <cell r="G17" t="str">
            <v>SF5127508764809</v>
          </cell>
          <cell r="H17" t="str">
            <v>186****6788</v>
          </cell>
        </row>
        <row r="18">
          <cell r="A18" t="str">
            <v>SF5127508764809</v>
          </cell>
          <cell r="B18" t="str">
            <v>立充充电宝取机柜-物流服务</v>
          </cell>
          <cell r="C18" t="str">
            <v>186****6788‎‎‎‬‬‬</v>
          </cell>
        </row>
        <row r="18">
          <cell r="G18" t="str">
            <v>SF5127597048630</v>
          </cell>
          <cell r="H18" t="str">
            <v>186****6788</v>
          </cell>
        </row>
        <row r="19">
          <cell r="A19" t="str">
            <v>SF5127597048630</v>
          </cell>
          <cell r="B19" t="str">
            <v>立充充电宝取机柜-物流服务</v>
          </cell>
          <cell r="C19" t="str">
            <v>186****6788‎‎‎‬‬‬</v>
          </cell>
        </row>
        <row r="19">
          <cell r="G19" t="str">
            <v>SF5103182724031</v>
          </cell>
          <cell r="H19" t="str">
            <v>186****6788</v>
          </cell>
        </row>
        <row r="20">
          <cell r="A20" t="str">
            <v>SF5103182724031</v>
          </cell>
          <cell r="B20" t="str">
            <v>立充充电宝取机柜-物流服务</v>
          </cell>
          <cell r="C20" t="str">
            <v>186****6788‎‎‎‬‬‬</v>
          </cell>
        </row>
        <row r="20">
          <cell r="G20" t="str">
            <v>SF5106805081938</v>
          </cell>
          <cell r="H20" t="str">
            <v>186****6788</v>
          </cell>
        </row>
        <row r="21">
          <cell r="A21" t="str">
            <v>SF5106805081938</v>
          </cell>
          <cell r="B21" t="str">
            <v>立充充电宝取机柜-物流服务</v>
          </cell>
          <cell r="C21" t="str">
            <v>186****6788‎‎‎‬‬‬</v>
          </cell>
        </row>
        <row r="29">
          <cell r="G29" t="str">
            <v>SF3268714509952</v>
          </cell>
          <cell r="H29" t="str">
            <v>186****6788</v>
          </cell>
        </row>
        <row r="30">
          <cell r="A30" t="str">
            <v>SF3268714509952</v>
          </cell>
          <cell r="B30" t="str">
            <v>取宝-物流服务</v>
          </cell>
          <cell r="C30" t="str">
            <v>186****6788‎‎‎‬‬‬</v>
          </cell>
        </row>
        <row r="30">
          <cell r="G30" t="str">
            <v>SF3268714724220</v>
          </cell>
          <cell r="H30" t="str">
            <v>186****6788</v>
          </cell>
        </row>
        <row r="31">
          <cell r="A31" t="str">
            <v>SF3268714724220</v>
          </cell>
          <cell r="B31" t="str">
            <v>立充充电宝取机柜-物流服务</v>
          </cell>
          <cell r="C31" t="str">
            <v>186****6788‎‎‎‬‬‬</v>
          </cell>
        </row>
        <row r="31">
          <cell r="G31" t="str">
            <v>SF5106970421620</v>
          </cell>
          <cell r="H31" t="str">
            <v>186****6788</v>
          </cell>
        </row>
        <row r="32">
          <cell r="A32" t="str">
            <v>SF5106970421620</v>
          </cell>
          <cell r="B32" t="str">
            <v>取宝-物流服务</v>
          </cell>
          <cell r="C32" t="str">
            <v>186****6788‎‎‎‬‬‬</v>
          </cell>
        </row>
        <row r="32">
          <cell r="G32" t="str">
            <v>SF5127722204781</v>
          </cell>
          <cell r="H32" t="str">
            <v>186****6788</v>
          </cell>
        </row>
        <row r="33">
          <cell r="A33" t="str">
            <v>SF5127722204781</v>
          </cell>
          <cell r="B33" t="str">
            <v>立充充电宝取机柜-物流服务</v>
          </cell>
          <cell r="C33" t="str">
            <v>186****6788‎‎‎‬‬‬</v>
          </cell>
        </row>
        <row r="33">
          <cell r="G33" t="str">
            <v>SF5127722665550</v>
          </cell>
          <cell r="H33" t="str">
            <v>186****6788</v>
          </cell>
        </row>
        <row r="34">
          <cell r="A34" t="str">
            <v>SF5127722665550</v>
          </cell>
          <cell r="B34" t="str">
            <v>取宝-物流服务</v>
          </cell>
          <cell r="C34" t="str">
            <v>186****6788‎‎‎‬‬‬</v>
          </cell>
        </row>
        <row r="34">
          <cell r="G34" t="str">
            <v>SF5127766316133</v>
          </cell>
          <cell r="H34" t="str">
            <v>155****0885</v>
          </cell>
        </row>
        <row r="35">
          <cell r="A35" t="str">
            <v>SF5127766316133</v>
          </cell>
          <cell r="B35" t="str">
            <v>立充充电宝取机柜-物流服务</v>
          </cell>
          <cell r="C35" t="str">
            <v>155****0885‎‎‎‬‬‬</v>
          </cell>
        </row>
        <row r="35">
          <cell r="G35" t="str">
            <v>SF5127754205822</v>
          </cell>
          <cell r="H35" t="str">
            <v>186****6788</v>
          </cell>
        </row>
        <row r="36">
          <cell r="A36" t="str">
            <v>SF5127754205822</v>
          </cell>
          <cell r="B36" t="str">
            <v>取宝-物流服务</v>
          </cell>
          <cell r="C36" t="str">
            <v>186****6788‎‎‎‬‬‬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3"/>
  <sheetViews>
    <sheetView tabSelected="1" topLeftCell="A465" workbookViewId="0">
      <selection activeCell="K499" sqref="K499"/>
    </sheetView>
  </sheetViews>
  <sheetFormatPr defaultColWidth="9" defaultRowHeight="14.4"/>
  <cols>
    <col min="1" max="1" width="5" style="1" customWidth="1"/>
    <col min="2" max="2" width="5.11111111111111" style="1" customWidth="1"/>
    <col min="3" max="3" width="13.5555555555556" style="1" customWidth="1"/>
    <col min="4" max="5" width="13.1111111111111" style="1" customWidth="1"/>
    <col min="6" max="6" width="36" style="1" customWidth="1"/>
    <col min="7" max="8" width="8.55555555555556" style="1" customWidth="1"/>
    <col min="9" max="9" width="9.77777777777778" style="1" customWidth="1"/>
    <col min="10" max="10" width="7.88888888888889" style="1" customWidth="1"/>
    <col min="11" max="11" width="9.22222222222222" style="1" customWidth="1"/>
    <col min="12" max="12" width="8.55555555555556" style="1" customWidth="1"/>
    <col min="13" max="13" width="23.6666666666667" style="1" customWidth="1"/>
    <col min="14" max="14" width="8.11111111111111" style="1" customWidth="1"/>
    <col min="15" max="15" width="28.7777777777778" style="1" customWidth="1"/>
    <col min="16" max="16" width="13" style="1" customWidth="1"/>
    <col min="17" max="17" width="30.4444444444444" style="12" customWidth="1"/>
    <col min="18" max="16384" width="9" style="1"/>
  </cols>
  <sheetData>
    <row r="1" s="1" customFormat="1" ht="15.6" spans="1:19">
      <c r="A1" s="2" t="s">
        <v>0</v>
      </c>
      <c r="Q1" s="12"/>
    </row>
    <row r="2" s="1" customFormat="1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5" t="s">
        <v>16</v>
      </c>
      <c r="Q2" s="6" t="s">
        <v>17</v>
      </c>
      <c r="R2" s="7" t="s">
        <v>18</v>
      </c>
      <c r="S2" s="3" t="s">
        <v>19</v>
      </c>
    </row>
    <row r="3" s="1" customFormat="1" spans="1:19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29</v>
      </c>
      <c r="M3" s="8" t="s">
        <v>25</v>
      </c>
      <c r="N3" s="8" t="s">
        <v>31</v>
      </c>
      <c r="O3" s="1" t="str">
        <f>VLOOKUP(C3,[1]Sheet2!A:C,2,FALSE)</f>
        <v>取宝-物流服务</v>
      </c>
      <c r="P3" s="1" t="str">
        <f>VLOOKUP(C3,[1]Sheet2!G:H,2,FALSE)</f>
        <v>134****6101</v>
      </c>
      <c r="Q3" s="31" t="s">
        <v>32</v>
      </c>
    </row>
    <row r="4" s="1" customFormat="1" spans="1:19">
      <c r="A4" s="8" t="s">
        <v>33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34</v>
      </c>
      <c r="H4" s="8" t="s">
        <v>27</v>
      </c>
      <c r="I4" s="8" t="s">
        <v>28</v>
      </c>
      <c r="J4" s="8" t="s">
        <v>35</v>
      </c>
      <c r="K4" s="8" t="s">
        <v>30</v>
      </c>
      <c r="L4" s="8" t="s">
        <v>35</v>
      </c>
      <c r="M4" s="8" t="s">
        <v>25</v>
      </c>
      <c r="N4" s="8" t="s">
        <v>36</v>
      </c>
      <c r="O4" s="1" t="str">
        <f>VLOOKUP(C4,[1]Sheet2!A:C,2,FALSE)</f>
        <v>取宝-物流服务</v>
      </c>
      <c r="P4" s="1" t="str">
        <f>VLOOKUP(C4,[1]Sheet2!G:H,2,FALSE)</f>
        <v>134****6101</v>
      </c>
      <c r="Q4" s="31" t="s">
        <v>32</v>
      </c>
    </row>
    <row r="5" s="1" customFormat="1" spans="1:19">
      <c r="A5" s="8" t="s">
        <v>37</v>
      </c>
      <c r="B5" s="8" t="s">
        <v>21</v>
      </c>
      <c r="C5" s="8" t="s">
        <v>38</v>
      </c>
      <c r="D5" s="8" t="s">
        <v>23</v>
      </c>
      <c r="E5" s="8" t="s">
        <v>24</v>
      </c>
      <c r="F5" s="8" t="s">
        <v>25</v>
      </c>
      <c r="G5" s="8" t="s">
        <v>39</v>
      </c>
      <c r="H5" s="8" t="s">
        <v>27</v>
      </c>
      <c r="I5" s="8" t="s">
        <v>28</v>
      </c>
      <c r="J5" s="8" t="s">
        <v>40</v>
      </c>
      <c r="K5" s="8" t="s">
        <v>30</v>
      </c>
      <c r="L5" s="8" t="s">
        <v>40</v>
      </c>
      <c r="M5" s="8" t="s">
        <v>25</v>
      </c>
      <c r="N5" s="8" t="s">
        <v>31</v>
      </c>
      <c r="O5" s="1" t="str">
        <f>VLOOKUP(C5,[1]Sheet2!A:C,2,FALSE)</f>
        <v>立充充电宝取机柜-物流服务</v>
      </c>
      <c r="P5" s="1" t="str">
        <f>VLOOKUP(C5,[1]Sheet2!G:H,2,FALSE)</f>
        <v>134****6101</v>
      </c>
      <c r="Q5" s="31" t="s">
        <v>32</v>
      </c>
    </row>
    <row r="6" s="1" customFormat="1" spans="1:19">
      <c r="A6" s="8" t="s">
        <v>41</v>
      </c>
      <c r="B6" s="8" t="s">
        <v>21</v>
      </c>
      <c r="C6" s="8" t="s">
        <v>38</v>
      </c>
      <c r="D6" s="8" t="s">
        <v>23</v>
      </c>
      <c r="E6" s="8" t="s">
        <v>24</v>
      </c>
      <c r="F6" s="8" t="s">
        <v>25</v>
      </c>
      <c r="G6" s="8" t="s">
        <v>34</v>
      </c>
      <c r="H6" s="8" t="s">
        <v>27</v>
      </c>
      <c r="I6" s="8" t="s">
        <v>28</v>
      </c>
      <c r="J6" s="8" t="s">
        <v>42</v>
      </c>
      <c r="K6" s="8" t="s">
        <v>30</v>
      </c>
      <c r="L6" s="8" t="s">
        <v>42</v>
      </c>
      <c r="M6" s="8" t="s">
        <v>25</v>
      </c>
      <c r="N6" s="8" t="s">
        <v>36</v>
      </c>
      <c r="O6" s="1" t="str">
        <f>VLOOKUP(C6,[1]Sheet2!A:C,2,FALSE)</f>
        <v>立充充电宝取机柜-物流服务</v>
      </c>
      <c r="P6" s="1" t="str">
        <f>VLOOKUP(C6,[1]Sheet2!G:H,2,FALSE)</f>
        <v>134****6101</v>
      </c>
      <c r="Q6" s="31" t="s">
        <v>32</v>
      </c>
    </row>
    <row r="7" s="1" customFormat="1" spans="1:19">
      <c r="A7" s="8" t="s">
        <v>43</v>
      </c>
      <c r="B7" s="8" t="s">
        <v>21</v>
      </c>
      <c r="C7" s="8" t="s">
        <v>44</v>
      </c>
      <c r="D7" s="8" t="s">
        <v>45</v>
      </c>
      <c r="E7" s="8" t="s">
        <v>45</v>
      </c>
      <c r="F7" s="8" t="s">
        <v>46</v>
      </c>
      <c r="G7" s="8" t="s">
        <v>26</v>
      </c>
      <c r="H7" s="8" t="s">
        <v>27</v>
      </c>
      <c r="I7" s="8" t="s">
        <v>28</v>
      </c>
      <c r="J7" s="8" t="s">
        <v>47</v>
      </c>
      <c r="K7" s="8" t="s">
        <v>30</v>
      </c>
      <c r="L7" s="8" t="s">
        <v>47</v>
      </c>
      <c r="M7" s="8" t="s">
        <v>46</v>
      </c>
      <c r="N7" s="8" t="s">
        <v>31</v>
      </c>
      <c r="O7" s="1" t="str">
        <f>VLOOKUP(C7,[1]Sheet2!A:C,2,FALSE)</f>
        <v>取宝-物流服务</v>
      </c>
      <c r="P7" s="1" t="str">
        <f>VLOOKUP(C7,[1]Sheet2!G:H,2,FALSE)</f>
        <v>186****6788</v>
      </c>
      <c r="Q7" s="12" t="s">
        <v>48</v>
      </c>
    </row>
    <row r="8" s="1" customFormat="1" spans="1:19">
      <c r="A8" s="8" t="s">
        <v>49</v>
      </c>
      <c r="B8" s="8" t="s">
        <v>21</v>
      </c>
      <c r="C8" s="8" t="s">
        <v>44</v>
      </c>
      <c r="D8" s="8" t="s">
        <v>45</v>
      </c>
      <c r="E8" s="8" t="s">
        <v>45</v>
      </c>
      <c r="F8" s="8" t="s">
        <v>46</v>
      </c>
      <c r="G8" s="8" t="s">
        <v>34</v>
      </c>
      <c r="H8" s="8" t="s">
        <v>27</v>
      </c>
      <c r="I8" s="8" t="s">
        <v>28</v>
      </c>
      <c r="J8" s="8" t="s">
        <v>35</v>
      </c>
      <c r="K8" s="8" t="s">
        <v>30</v>
      </c>
      <c r="L8" s="8" t="s">
        <v>35</v>
      </c>
      <c r="M8" s="8" t="s">
        <v>46</v>
      </c>
      <c r="N8" s="8" t="s">
        <v>36</v>
      </c>
      <c r="O8" s="1" t="str">
        <f>VLOOKUP(C8,[1]Sheet2!A:C,2,FALSE)</f>
        <v>取宝-物流服务</v>
      </c>
      <c r="P8" s="1" t="str">
        <f>VLOOKUP(C8,[1]Sheet2!G:H,2,FALSE)</f>
        <v>186****6788</v>
      </c>
      <c r="Q8" s="12" t="s">
        <v>48</v>
      </c>
    </row>
    <row r="9" s="1" customFormat="1" spans="1:19">
      <c r="A9" s="8" t="s">
        <v>50</v>
      </c>
      <c r="B9" s="8" t="s">
        <v>21</v>
      </c>
      <c r="C9" s="8" t="s">
        <v>51</v>
      </c>
      <c r="D9" s="8" t="s">
        <v>45</v>
      </c>
      <c r="E9" s="8" t="s">
        <v>45</v>
      </c>
      <c r="F9" s="8" t="s">
        <v>46</v>
      </c>
      <c r="G9" s="8" t="s">
        <v>26</v>
      </c>
      <c r="H9" s="8" t="s">
        <v>27</v>
      </c>
      <c r="I9" s="8" t="s">
        <v>28</v>
      </c>
      <c r="J9" s="8" t="s">
        <v>47</v>
      </c>
      <c r="K9" s="8" t="s">
        <v>30</v>
      </c>
      <c r="L9" s="8" t="s">
        <v>47</v>
      </c>
      <c r="M9" s="8" t="s">
        <v>46</v>
      </c>
      <c r="N9" s="8" t="s">
        <v>31</v>
      </c>
      <c r="O9" s="1" t="str">
        <f>VLOOKUP(C9,[1]Sheet2!A:C,2,FALSE)</f>
        <v>取宝-物流服务</v>
      </c>
      <c r="P9" s="1" t="str">
        <f>VLOOKUP(C9,[1]Sheet2!G:H,2,FALSE)</f>
        <v>186****6788</v>
      </c>
      <c r="Q9" s="12" t="s">
        <v>48</v>
      </c>
    </row>
    <row r="10" s="1" customFormat="1" spans="1:19">
      <c r="A10" s="8" t="s">
        <v>52</v>
      </c>
      <c r="B10" s="8" t="s">
        <v>21</v>
      </c>
      <c r="C10" s="8" t="s">
        <v>53</v>
      </c>
      <c r="D10" s="8" t="s">
        <v>45</v>
      </c>
      <c r="E10" s="8" t="s">
        <v>45</v>
      </c>
      <c r="F10" s="8" t="s">
        <v>46</v>
      </c>
      <c r="G10" s="8" t="s">
        <v>26</v>
      </c>
      <c r="H10" s="8" t="s">
        <v>27</v>
      </c>
      <c r="I10" s="8" t="s">
        <v>28</v>
      </c>
      <c r="J10" s="8" t="s">
        <v>47</v>
      </c>
      <c r="K10" s="8" t="s">
        <v>30</v>
      </c>
      <c r="L10" s="8" t="s">
        <v>47</v>
      </c>
      <c r="M10" s="8" t="s">
        <v>46</v>
      </c>
      <c r="N10" s="8" t="s">
        <v>31</v>
      </c>
      <c r="O10" s="1" t="str">
        <f>VLOOKUP(C10,[1]Sheet2!A:C,2,FALSE)</f>
        <v>取宝-物流服务</v>
      </c>
      <c r="P10" s="1" t="str">
        <f>VLOOKUP(C10,[1]Sheet2!G:H,2,FALSE)</f>
        <v>186****6788</v>
      </c>
      <c r="Q10" s="12" t="s">
        <v>48</v>
      </c>
    </row>
    <row r="11" s="1" customFormat="1" spans="1:19">
      <c r="A11" s="8" t="s">
        <v>54</v>
      </c>
      <c r="B11" s="8" t="s">
        <v>21</v>
      </c>
      <c r="C11" s="8" t="s">
        <v>53</v>
      </c>
      <c r="D11" s="8" t="s">
        <v>45</v>
      </c>
      <c r="E11" s="8" t="s">
        <v>45</v>
      </c>
      <c r="F11" s="8" t="s">
        <v>46</v>
      </c>
      <c r="G11" s="8" t="s">
        <v>34</v>
      </c>
      <c r="H11" s="8" t="s">
        <v>27</v>
      </c>
      <c r="I11" s="8" t="s">
        <v>28</v>
      </c>
      <c r="J11" s="8" t="s">
        <v>55</v>
      </c>
      <c r="K11" s="8" t="s">
        <v>30</v>
      </c>
      <c r="L11" s="8" t="s">
        <v>55</v>
      </c>
      <c r="M11" s="8" t="s">
        <v>46</v>
      </c>
      <c r="N11" s="8" t="s">
        <v>36</v>
      </c>
      <c r="O11" s="1" t="str">
        <f>VLOOKUP(C11,[1]Sheet2!A:C,2,FALSE)</f>
        <v>取宝-物流服务</v>
      </c>
      <c r="P11" s="1" t="str">
        <f>VLOOKUP(C11,[1]Sheet2!G:H,2,FALSE)</f>
        <v>186****6788</v>
      </c>
      <c r="Q11" s="12" t="s">
        <v>48</v>
      </c>
    </row>
    <row r="12" s="1" customFormat="1" spans="1:19">
      <c r="A12" s="8" t="s">
        <v>56</v>
      </c>
      <c r="B12" s="8" t="s">
        <v>21</v>
      </c>
      <c r="C12" s="8" t="s">
        <v>57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  <c r="K12" s="8" t="s">
        <v>30</v>
      </c>
      <c r="L12" s="8" t="s">
        <v>29</v>
      </c>
      <c r="M12" s="8" t="s">
        <v>25</v>
      </c>
      <c r="N12" s="8" t="s">
        <v>31</v>
      </c>
      <c r="O12" s="1" t="str">
        <f>VLOOKUP(C12,[1]Sheet2!A:C,2,FALSE)</f>
        <v>取宝-物流服务</v>
      </c>
      <c r="P12" s="1" t="str">
        <f>VLOOKUP(C12,[1]Sheet2!G:H,2,FALSE)</f>
        <v>134****6101</v>
      </c>
      <c r="Q12" s="31" t="s">
        <v>32</v>
      </c>
    </row>
    <row r="13" s="1" customFormat="1" spans="1:19">
      <c r="A13" s="8" t="s">
        <v>58</v>
      </c>
      <c r="B13" s="8" t="s">
        <v>21</v>
      </c>
      <c r="C13" s="8" t="s">
        <v>57</v>
      </c>
      <c r="D13" s="8" t="s">
        <v>23</v>
      </c>
      <c r="E13" s="8" t="s">
        <v>24</v>
      </c>
      <c r="F13" s="8" t="s">
        <v>25</v>
      </c>
      <c r="G13" s="8" t="s">
        <v>34</v>
      </c>
      <c r="H13" s="8" t="s">
        <v>27</v>
      </c>
      <c r="I13" s="8" t="s">
        <v>28</v>
      </c>
      <c r="J13" s="8" t="s">
        <v>35</v>
      </c>
      <c r="K13" s="8" t="s">
        <v>30</v>
      </c>
      <c r="L13" s="8" t="s">
        <v>35</v>
      </c>
      <c r="M13" s="8" t="s">
        <v>25</v>
      </c>
      <c r="N13" s="8" t="s">
        <v>36</v>
      </c>
      <c r="O13" s="1" t="str">
        <f>VLOOKUP(C13,[1]Sheet2!A:C,2,FALSE)</f>
        <v>取宝-物流服务</v>
      </c>
      <c r="P13" s="1" t="str">
        <f>VLOOKUP(C13,[1]Sheet2!G:H,2,FALSE)</f>
        <v>134****6101</v>
      </c>
      <c r="Q13" s="31" t="s">
        <v>32</v>
      </c>
    </row>
    <row r="14" s="1" customFormat="1" spans="1:19">
      <c r="A14" s="8" t="s">
        <v>59</v>
      </c>
      <c r="B14" s="8" t="s">
        <v>21</v>
      </c>
      <c r="C14" s="8" t="s">
        <v>60</v>
      </c>
      <c r="D14" s="8" t="s">
        <v>23</v>
      </c>
      <c r="E14" s="8" t="s">
        <v>24</v>
      </c>
      <c r="F14" s="8" t="s">
        <v>25</v>
      </c>
      <c r="G14" s="8" t="s">
        <v>26</v>
      </c>
      <c r="H14" s="8" t="s">
        <v>27</v>
      </c>
      <c r="I14" s="8" t="s">
        <v>28</v>
      </c>
      <c r="J14" s="8" t="s">
        <v>29</v>
      </c>
      <c r="K14" s="8" t="s">
        <v>30</v>
      </c>
      <c r="L14" s="8" t="s">
        <v>29</v>
      </c>
      <c r="M14" s="8" t="s">
        <v>25</v>
      </c>
      <c r="N14" s="8" t="s">
        <v>31</v>
      </c>
      <c r="O14" s="1" t="str">
        <f>VLOOKUP(C14,[1]Sheet2!A:C,2,FALSE)</f>
        <v>取宝-物流服务</v>
      </c>
      <c r="P14" s="1" t="str">
        <f>VLOOKUP(C14,[1]Sheet2!G:H,2,FALSE)</f>
        <v>134****6101</v>
      </c>
      <c r="Q14" s="31" t="s">
        <v>32</v>
      </c>
    </row>
    <row r="15" s="1" customFormat="1" spans="1:19">
      <c r="A15" s="8" t="s">
        <v>61</v>
      </c>
      <c r="B15" s="8" t="s">
        <v>21</v>
      </c>
      <c r="C15" s="8" t="s">
        <v>60</v>
      </c>
      <c r="D15" s="8" t="s">
        <v>23</v>
      </c>
      <c r="E15" s="8" t="s">
        <v>24</v>
      </c>
      <c r="F15" s="8" t="s">
        <v>25</v>
      </c>
      <c r="G15" s="8" t="s">
        <v>34</v>
      </c>
      <c r="H15" s="8" t="s">
        <v>27</v>
      </c>
      <c r="I15" s="8" t="s">
        <v>28</v>
      </c>
      <c r="J15" s="8" t="s">
        <v>35</v>
      </c>
      <c r="K15" s="8" t="s">
        <v>30</v>
      </c>
      <c r="L15" s="8" t="s">
        <v>35</v>
      </c>
      <c r="M15" s="8" t="s">
        <v>25</v>
      </c>
      <c r="N15" s="8" t="s">
        <v>36</v>
      </c>
      <c r="O15" s="1" t="str">
        <f>VLOOKUP(C15,[1]Sheet2!A:C,2,FALSE)</f>
        <v>取宝-物流服务</v>
      </c>
      <c r="P15" s="1" t="str">
        <f>VLOOKUP(C15,[1]Sheet2!G:H,2,FALSE)</f>
        <v>134****6101</v>
      </c>
      <c r="Q15" s="31" t="s">
        <v>32</v>
      </c>
    </row>
    <row r="16" s="1" customFormat="1" spans="1:19">
      <c r="A16" s="8" t="s">
        <v>62</v>
      </c>
      <c r="B16" s="8" t="s">
        <v>21</v>
      </c>
      <c r="C16" s="8" t="s">
        <v>63</v>
      </c>
      <c r="D16" s="8" t="s">
        <v>45</v>
      </c>
      <c r="E16" s="8" t="s">
        <v>45</v>
      </c>
      <c r="F16" s="8" t="s">
        <v>46</v>
      </c>
      <c r="G16" s="8" t="s">
        <v>64</v>
      </c>
      <c r="H16" s="8" t="s">
        <v>27</v>
      </c>
      <c r="I16" s="8" t="s">
        <v>28</v>
      </c>
      <c r="J16" s="8" t="s">
        <v>29</v>
      </c>
      <c r="K16" s="8" t="s">
        <v>30</v>
      </c>
      <c r="L16" s="8" t="s">
        <v>29</v>
      </c>
      <c r="M16" s="8" t="s">
        <v>46</v>
      </c>
      <c r="N16" s="8" t="s">
        <v>31</v>
      </c>
      <c r="O16" s="1" t="str">
        <f>VLOOKUP(C16,[1]Sheet2!A:C,2,FALSE)</f>
        <v>立充充电宝取机柜-物流服务</v>
      </c>
      <c r="P16" s="1" t="str">
        <f>VLOOKUP(C16,[1]Sheet2!G:H,2,FALSE)</f>
        <v>186****6788</v>
      </c>
      <c r="Q16" s="12" t="s">
        <v>48</v>
      </c>
    </row>
    <row r="17" s="1" customFormat="1" spans="1:17">
      <c r="A17" s="8" t="s">
        <v>65</v>
      </c>
      <c r="B17" s="8" t="s">
        <v>21</v>
      </c>
      <c r="C17" s="8" t="s">
        <v>66</v>
      </c>
      <c r="D17" s="8" t="s">
        <v>45</v>
      </c>
      <c r="E17" s="8" t="s">
        <v>45</v>
      </c>
      <c r="F17" s="8" t="s">
        <v>46</v>
      </c>
      <c r="G17" s="8" t="s">
        <v>26</v>
      </c>
      <c r="H17" s="8" t="s">
        <v>27</v>
      </c>
      <c r="I17" s="8" t="s">
        <v>28</v>
      </c>
      <c r="J17" s="8" t="s">
        <v>47</v>
      </c>
      <c r="K17" s="8" t="s">
        <v>30</v>
      </c>
      <c r="L17" s="8" t="s">
        <v>47</v>
      </c>
      <c r="M17" s="8" t="s">
        <v>46</v>
      </c>
      <c r="N17" s="8" t="s">
        <v>31</v>
      </c>
      <c r="O17" s="1" t="str">
        <f>VLOOKUP(C17,[1]Sheet2!A:C,2,FALSE)</f>
        <v>取宝-物流服务</v>
      </c>
      <c r="P17" s="1" t="str">
        <f>VLOOKUP(C17,[1]Sheet2!G:H,2,FALSE)</f>
        <v>186****6788</v>
      </c>
      <c r="Q17" s="12" t="s">
        <v>48</v>
      </c>
    </row>
    <row r="18" s="1" customFormat="1" spans="1:17">
      <c r="A18" s="8" t="s">
        <v>67</v>
      </c>
      <c r="B18" s="8" t="s">
        <v>68</v>
      </c>
      <c r="C18" s="8" t="s">
        <v>22</v>
      </c>
      <c r="D18" s="8" t="s">
        <v>23</v>
      </c>
      <c r="E18" s="8" t="s">
        <v>24</v>
      </c>
      <c r="F18" s="8" t="s">
        <v>25</v>
      </c>
      <c r="G18" s="8" t="s">
        <v>34</v>
      </c>
      <c r="H18" s="8" t="s">
        <v>27</v>
      </c>
      <c r="I18" s="8" t="s">
        <v>69</v>
      </c>
      <c r="J18" s="8" t="s">
        <v>70</v>
      </c>
      <c r="K18" s="8" t="s">
        <v>30</v>
      </c>
      <c r="L18" s="8" t="s">
        <v>70</v>
      </c>
      <c r="M18" s="8" t="s">
        <v>25</v>
      </c>
      <c r="N18" s="8" t="s">
        <v>71</v>
      </c>
      <c r="O18" s="1" t="str">
        <f>VLOOKUP(C18,[1]Sheet2!A:C,2,FALSE)</f>
        <v>取宝-物流服务</v>
      </c>
      <c r="P18" s="1" t="str">
        <f>VLOOKUP(C18,[1]Sheet2!G:H,2,FALSE)</f>
        <v>134****6101</v>
      </c>
      <c r="Q18" s="31" t="s">
        <v>32</v>
      </c>
    </row>
    <row r="19" s="1" customFormat="1" spans="1:17">
      <c r="A19" s="8" t="s">
        <v>72</v>
      </c>
      <c r="B19" s="8" t="s">
        <v>68</v>
      </c>
      <c r="C19" s="8" t="s">
        <v>44</v>
      </c>
      <c r="D19" s="8" t="s">
        <v>45</v>
      </c>
      <c r="E19" s="8" t="s">
        <v>45</v>
      </c>
      <c r="F19" s="8" t="s">
        <v>46</v>
      </c>
      <c r="G19" s="8" t="s">
        <v>34</v>
      </c>
      <c r="H19" s="8" t="s">
        <v>27</v>
      </c>
      <c r="I19" s="8" t="s">
        <v>69</v>
      </c>
      <c r="J19" s="8" t="s">
        <v>70</v>
      </c>
      <c r="K19" s="8" t="s">
        <v>30</v>
      </c>
      <c r="L19" s="8" t="s">
        <v>70</v>
      </c>
      <c r="M19" s="8" t="s">
        <v>46</v>
      </c>
      <c r="N19" s="8" t="s">
        <v>71</v>
      </c>
      <c r="O19" s="1" t="str">
        <f>VLOOKUP(C19,[1]Sheet2!A:C,2,FALSE)</f>
        <v>取宝-物流服务</v>
      </c>
      <c r="P19" s="1" t="str">
        <f>VLOOKUP(C19,[1]Sheet2!G:H,2,FALSE)</f>
        <v>186****6788</v>
      </c>
      <c r="Q19" s="12" t="s">
        <v>48</v>
      </c>
    </row>
    <row r="20" s="1" customFormat="1" spans="1:17">
      <c r="A20" s="8" t="s">
        <v>73</v>
      </c>
      <c r="B20" s="8" t="s">
        <v>68</v>
      </c>
      <c r="C20" s="8" t="s">
        <v>51</v>
      </c>
      <c r="D20" s="8" t="s">
        <v>45</v>
      </c>
      <c r="E20" s="8" t="s">
        <v>45</v>
      </c>
      <c r="F20" s="8" t="s">
        <v>46</v>
      </c>
      <c r="G20" s="8" t="s">
        <v>34</v>
      </c>
      <c r="H20" s="8" t="s">
        <v>27</v>
      </c>
      <c r="I20" s="8" t="s">
        <v>69</v>
      </c>
      <c r="J20" s="8" t="s">
        <v>70</v>
      </c>
      <c r="K20" s="8" t="s">
        <v>30</v>
      </c>
      <c r="L20" s="8" t="s">
        <v>70</v>
      </c>
      <c r="M20" s="8" t="s">
        <v>46</v>
      </c>
      <c r="N20" s="8" t="s">
        <v>71</v>
      </c>
      <c r="O20" s="1" t="str">
        <f>VLOOKUP(C20,[1]Sheet2!A:C,2,FALSE)</f>
        <v>取宝-物流服务</v>
      </c>
      <c r="P20" s="1" t="str">
        <f>VLOOKUP(C20,[1]Sheet2!G:H,2,FALSE)</f>
        <v>186****6788</v>
      </c>
      <c r="Q20" s="12" t="s">
        <v>48</v>
      </c>
    </row>
    <row r="21" s="1" customFormat="1" ht="15.6" spans="1:17">
      <c r="A21" s="8" t="s">
        <v>74</v>
      </c>
      <c r="B21" s="8" t="s">
        <v>68</v>
      </c>
      <c r="C21" s="8" t="s">
        <v>75</v>
      </c>
      <c r="D21" s="8" t="s">
        <v>76</v>
      </c>
      <c r="E21" s="8" t="s">
        <v>45</v>
      </c>
      <c r="F21" s="8" t="s">
        <v>77</v>
      </c>
      <c r="G21" s="8" t="s">
        <v>26</v>
      </c>
      <c r="H21" s="8" t="s">
        <v>27</v>
      </c>
      <c r="I21" s="8" t="s">
        <v>28</v>
      </c>
      <c r="J21" s="8" t="s">
        <v>29</v>
      </c>
      <c r="K21" s="8" t="s">
        <v>30</v>
      </c>
      <c r="L21" s="8" t="s">
        <v>29</v>
      </c>
      <c r="M21" s="8" t="s">
        <v>78</v>
      </c>
      <c r="N21" s="8" t="s">
        <v>31</v>
      </c>
      <c r="O21" s="1" t="str">
        <f>VLOOKUP(C21,[1]Sheet2!A:C,2,FALSE)</f>
        <v>取宝-仅物流</v>
      </c>
      <c r="P21" s="10" t="s">
        <v>79</v>
      </c>
      <c r="Q21" s="31" t="s">
        <v>77</v>
      </c>
    </row>
    <row r="22" s="1" customFormat="1" spans="1:17">
      <c r="A22" s="8" t="s">
        <v>80</v>
      </c>
      <c r="B22" s="8" t="s">
        <v>68</v>
      </c>
      <c r="C22" s="8" t="s">
        <v>53</v>
      </c>
      <c r="D22" s="8" t="s">
        <v>45</v>
      </c>
      <c r="E22" s="8" t="s">
        <v>45</v>
      </c>
      <c r="F22" s="8" t="s">
        <v>46</v>
      </c>
      <c r="G22" s="8" t="s">
        <v>34</v>
      </c>
      <c r="H22" s="8" t="s">
        <v>27</v>
      </c>
      <c r="I22" s="8" t="s">
        <v>69</v>
      </c>
      <c r="J22" s="8" t="s">
        <v>70</v>
      </c>
      <c r="K22" s="8" t="s">
        <v>30</v>
      </c>
      <c r="L22" s="8" t="s">
        <v>70</v>
      </c>
      <c r="M22" s="8" t="s">
        <v>46</v>
      </c>
      <c r="N22" s="8" t="s">
        <v>71</v>
      </c>
      <c r="O22" s="1" t="str">
        <f>VLOOKUP(C22,[1]Sheet2!A:C,2,FALSE)</f>
        <v>取宝-物流服务</v>
      </c>
      <c r="P22" s="1" t="str">
        <f>VLOOKUP(C22,[1]Sheet2!G:H,2,FALSE)</f>
        <v>186****6788</v>
      </c>
      <c r="Q22" s="12" t="s">
        <v>48</v>
      </c>
    </row>
    <row r="23" s="1" customFormat="1" spans="1:17">
      <c r="A23" s="8" t="s">
        <v>81</v>
      </c>
      <c r="B23" s="8" t="s">
        <v>68</v>
      </c>
      <c r="C23" s="8" t="s">
        <v>57</v>
      </c>
      <c r="D23" s="8" t="s">
        <v>23</v>
      </c>
      <c r="E23" s="8" t="s">
        <v>24</v>
      </c>
      <c r="F23" s="8" t="s">
        <v>25</v>
      </c>
      <c r="G23" s="8" t="s">
        <v>34</v>
      </c>
      <c r="H23" s="8" t="s">
        <v>27</v>
      </c>
      <c r="I23" s="8" t="s">
        <v>69</v>
      </c>
      <c r="J23" s="8" t="s">
        <v>70</v>
      </c>
      <c r="K23" s="8" t="s">
        <v>30</v>
      </c>
      <c r="L23" s="8" t="s">
        <v>70</v>
      </c>
      <c r="M23" s="8" t="s">
        <v>25</v>
      </c>
      <c r="N23" s="8" t="s">
        <v>71</v>
      </c>
      <c r="O23" s="1" t="str">
        <f>VLOOKUP(C23,[1]Sheet2!A:C,2,FALSE)</f>
        <v>取宝-物流服务</v>
      </c>
      <c r="P23" s="1" t="str">
        <f>VLOOKUP(C23,[1]Sheet2!G:H,2,FALSE)</f>
        <v>134****6101</v>
      </c>
      <c r="Q23" s="31" t="s">
        <v>32</v>
      </c>
    </row>
    <row r="24" s="1" customFormat="1" spans="1:17">
      <c r="A24" s="8" t="s">
        <v>82</v>
      </c>
      <c r="B24" s="8" t="s">
        <v>68</v>
      </c>
      <c r="C24" s="8" t="s">
        <v>60</v>
      </c>
      <c r="D24" s="8" t="s">
        <v>23</v>
      </c>
      <c r="E24" s="8" t="s">
        <v>24</v>
      </c>
      <c r="F24" s="8" t="s">
        <v>25</v>
      </c>
      <c r="G24" s="8" t="s">
        <v>34</v>
      </c>
      <c r="H24" s="8" t="s">
        <v>27</v>
      </c>
      <c r="I24" s="8" t="s">
        <v>69</v>
      </c>
      <c r="J24" s="8" t="s">
        <v>70</v>
      </c>
      <c r="K24" s="8" t="s">
        <v>30</v>
      </c>
      <c r="L24" s="8" t="s">
        <v>70</v>
      </c>
      <c r="M24" s="8" t="s">
        <v>25</v>
      </c>
      <c r="N24" s="8" t="s">
        <v>71</v>
      </c>
      <c r="O24" s="1" t="str">
        <f>VLOOKUP(C24,[1]Sheet2!A:C,2,FALSE)</f>
        <v>取宝-物流服务</v>
      </c>
      <c r="P24" s="1" t="str">
        <f>VLOOKUP(C24,[1]Sheet2!G:H,2,FALSE)</f>
        <v>134****6101</v>
      </c>
      <c r="Q24" s="31" t="s">
        <v>32</v>
      </c>
    </row>
    <row r="25" s="1" customFormat="1" spans="1:17">
      <c r="A25" s="8" t="s">
        <v>83</v>
      </c>
      <c r="B25" s="8" t="s">
        <v>68</v>
      </c>
      <c r="C25" s="8" t="s">
        <v>63</v>
      </c>
      <c r="D25" s="8" t="s">
        <v>45</v>
      </c>
      <c r="E25" s="8" t="s">
        <v>45</v>
      </c>
      <c r="F25" s="8" t="s">
        <v>46</v>
      </c>
      <c r="G25" s="8" t="s">
        <v>34</v>
      </c>
      <c r="H25" s="8" t="s">
        <v>27</v>
      </c>
      <c r="I25" s="8" t="s">
        <v>69</v>
      </c>
      <c r="J25" s="8" t="s">
        <v>84</v>
      </c>
      <c r="K25" s="8" t="s">
        <v>30</v>
      </c>
      <c r="L25" s="8" t="s">
        <v>84</v>
      </c>
      <c r="M25" s="8" t="s">
        <v>46</v>
      </c>
      <c r="N25" s="8" t="s">
        <v>71</v>
      </c>
      <c r="O25" s="1" t="str">
        <f>VLOOKUP(C25,[1]Sheet2!A:C,2,FALSE)</f>
        <v>立充充电宝取机柜-物流服务</v>
      </c>
      <c r="P25" s="1" t="str">
        <f>VLOOKUP(C25,[1]Sheet2!G:H,2,FALSE)</f>
        <v>186****6788</v>
      </c>
      <c r="Q25" s="12" t="s">
        <v>48</v>
      </c>
    </row>
    <row r="26" s="1" customFormat="1" spans="1:17">
      <c r="A26" s="8" t="s">
        <v>85</v>
      </c>
      <c r="B26" s="8" t="s">
        <v>68</v>
      </c>
      <c r="C26" s="8" t="s">
        <v>66</v>
      </c>
      <c r="D26" s="8" t="s">
        <v>45</v>
      </c>
      <c r="E26" s="8" t="s">
        <v>45</v>
      </c>
      <c r="F26" s="8" t="s">
        <v>46</v>
      </c>
      <c r="G26" s="8" t="s">
        <v>34</v>
      </c>
      <c r="H26" s="8" t="s">
        <v>27</v>
      </c>
      <c r="I26" s="8" t="s">
        <v>69</v>
      </c>
      <c r="J26" s="8" t="s">
        <v>70</v>
      </c>
      <c r="K26" s="8" t="s">
        <v>30</v>
      </c>
      <c r="L26" s="8" t="s">
        <v>70</v>
      </c>
      <c r="M26" s="8" t="s">
        <v>46</v>
      </c>
      <c r="N26" s="8" t="s">
        <v>71</v>
      </c>
      <c r="O26" s="1" t="str">
        <f>VLOOKUP(C26,[1]Sheet2!A:C,2,FALSE)</f>
        <v>取宝-物流服务</v>
      </c>
      <c r="P26" s="1" t="str">
        <f>VLOOKUP(C26,[1]Sheet2!G:H,2,FALSE)</f>
        <v>186****6788</v>
      </c>
      <c r="Q26" s="12" t="s">
        <v>48</v>
      </c>
    </row>
    <row r="27" s="1" customFormat="1" spans="1:17">
      <c r="A27" s="8" t="s">
        <v>86</v>
      </c>
      <c r="B27" s="8" t="s">
        <v>87</v>
      </c>
      <c r="C27" s="8" t="s">
        <v>88</v>
      </c>
      <c r="D27" s="8" t="s">
        <v>76</v>
      </c>
      <c r="E27" s="8" t="s">
        <v>45</v>
      </c>
      <c r="F27" s="8" t="s">
        <v>89</v>
      </c>
      <c r="G27" s="8" t="s">
        <v>26</v>
      </c>
      <c r="H27" s="8" t="s">
        <v>27</v>
      </c>
      <c r="I27" s="8" t="s">
        <v>28</v>
      </c>
      <c r="J27" s="8" t="s">
        <v>29</v>
      </c>
      <c r="K27" s="8" t="s">
        <v>30</v>
      </c>
      <c r="L27" s="8" t="s">
        <v>29</v>
      </c>
      <c r="M27" s="8" t="s">
        <v>90</v>
      </c>
      <c r="N27" s="8" t="s">
        <v>31</v>
      </c>
      <c r="O27" s="1" t="str">
        <f>VLOOKUP(C27,[1]Sheet2!A:C,2,FALSE)</f>
        <v>立充充电宝取机柜-仅服务</v>
      </c>
      <c r="P27" s="1" t="str">
        <f>VLOOKUP(C27,[1]Sheet2!G:H,2,FALSE)</f>
        <v>130****4667</v>
      </c>
      <c r="Q27" s="31" t="s">
        <v>77</v>
      </c>
    </row>
    <row r="28" s="1" customFormat="1" spans="1:17">
      <c r="A28" s="8" t="s">
        <v>91</v>
      </c>
      <c r="B28" s="8" t="s">
        <v>87</v>
      </c>
      <c r="C28" s="8" t="s">
        <v>88</v>
      </c>
      <c r="D28" s="8" t="s">
        <v>76</v>
      </c>
      <c r="E28" s="8" t="s">
        <v>45</v>
      </c>
      <c r="F28" s="8" t="s">
        <v>89</v>
      </c>
      <c r="G28" s="8" t="s">
        <v>34</v>
      </c>
      <c r="H28" s="8" t="s">
        <v>27</v>
      </c>
      <c r="I28" s="8" t="s">
        <v>28</v>
      </c>
      <c r="J28" s="8" t="s">
        <v>55</v>
      </c>
      <c r="K28" s="8" t="s">
        <v>30</v>
      </c>
      <c r="L28" s="8" t="s">
        <v>55</v>
      </c>
      <c r="M28" s="8" t="s">
        <v>90</v>
      </c>
      <c r="N28" s="8" t="s">
        <v>36</v>
      </c>
      <c r="O28" s="1" t="str">
        <f>VLOOKUP(C28,[1]Sheet2!A:C,2,FALSE)</f>
        <v>立充充电宝取机柜-仅服务</v>
      </c>
      <c r="P28" s="1" t="str">
        <f>VLOOKUP(C28,[1]Sheet2!G:H,2,FALSE)</f>
        <v>130****4667</v>
      </c>
      <c r="Q28" s="31" t="s">
        <v>77</v>
      </c>
    </row>
    <row r="29" s="1" customFormat="1" spans="1:17">
      <c r="A29" s="8" t="s">
        <v>92</v>
      </c>
      <c r="B29" s="8" t="s">
        <v>87</v>
      </c>
      <c r="C29" s="8" t="s">
        <v>93</v>
      </c>
      <c r="D29" s="8" t="s">
        <v>76</v>
      </c>
      <c r="E29" s="8" t="s">
        <v>45</v>
      </c>
      <c r="F29" s="8" t="s">
        <v>89</v>
      </c>
      <c r="G29" s="8" t="s">
        <v>94</v>
      </c>
      <c r="H29" s="8" t="s">
        <v>27</v>
      </c>
      <c r="I29" s="8" t="s">
        <v>28</v>
      </c>
      <c r="J29" s="8" t="s">
        <v>95</v>
      </c>
      <c r="K29" s="8" t="s">
        <v>30</v>
      </c>
      <c r="L29" s="8" t="s">
        <v>95</v>
      </c>
      <c r="M29" s="8" t="s">
        <v>90</v>
      </c>
      <c r="N29" s="8" t="s">
        <v>31</v>
      </c>
      <c r="O29" s="1" t="str">
        <f>VLOOKUP(C29,[1]Sheet2!A:C,2,FALSE)</f>
        <v>立充充电宝取机柜-仅服务</v>
      </c>
      <c r="P29" s="1" t="str">
        <f>VLOOKUP(C29,[1]Sheet2!G:H,2,FALSE)</f>
        <v>130****4667</v>
      </c>
      <c r="Q29" s="31" t="s">
        <v>77</v>
      </c>
    </row>
    <row r="30" s="1" customFormat="1" spans="1:17">
      <c r="A30" s="8" t="s">
        <v>96</v>
      </c>
      <c r="B30" s="8" t="s">
        <v>87</v>
      </c>
      <c r="C30" s="8" t="s">
        <v>93</v>
      </c>
      <c r="D30" s="8" t="s">
        <v>76</v>
      </c>
      <c r="E30" s="8" t="s">
        <v>45</v>
      </c>
      <c r="F30" s="8" t="s">
        <v>89</v>
      </c>
      <c r="G30" s="8" t="s">
        <v>34</v>
      </c>
      <c r="H30" s="8" t="s">
        <v>27</v>
      </c>
      <c r="I30" s="8" t="s">
        <v>28</v>
      </c>
      <c r="J30" s="8" t="s">
        <v>97</v>
      </c>
      <c r="K30" s="8" t="s">
        <v>30</v>
      </c>
      <c r="L30" s="8" t="s">
        <v>97</v>
      </c>
      <c r="M30" s="8" t="s">
        <v>90</v>
      </c>
      <c r="N30" s="8" t="s">
        <v>36</v>
      </c>
      <c r="O30" s="1" t="str">
        <f>VLOOKUP(C30,[1]Sheet2!A:C,2,FALSE)</f>
        <v>立充充电宝取机柜-仅服务</v>
      </c>
      <c r="P30" s="1" t="str">
        <f>VLOOKUP(C30,[1]Sheet2!G:H,2,FALSE)</f>
        <v>130****4667</v>
      </c>
      <c r="Q30" s="31" t="s">
        <v>77</v>
      </c>
    </row>
    <row r="31" s="1" customFormat="1" spans="1:17">
      <c r="A31" s="8" t="s">
        <v>98</v>
      </c>
      <c r="B31" s="8" t="s">
        <v>87</v>
      </c>
      <c r="C31" s="8" t="s">
        <v>99</v>
      </c>
      <c r="D31" s="8" t="s">
        <v>76</v>
      </c>
      <c r="E31" s="8" t="s">
        <v>45</v>
      </c>
      <c r="F31" s="8" t="s">
        <v>89</v>
      </c>
      <c r="G31" s="8" t="s">
        <v>26</v>
      </c>
      <c r="H31" s="8" t="s">
        <v>27</v>
      </c>
      <c r="I31" s="8" t="s">
        <v>28</v>
      </c>
      <c r="J31" s="8" t="s">
        <v>29</v>
      </c>
      <c r="K31" s="8" t="s">
        <v>30</v>
      </c>
      <c r="L31" s="8" t="s">
        <v>29</v>
      </c>
      <c r="M31" s="8" t="s">
        <v>90</v>
      </c>
      <c r="N31" s="8" t="s">
        <v>31</v>
      </c>
      <c r="O31" s="1" t="str">
        <f>VLOOKUP(C31,[1]Sheet2!A:C,2,FALSE)</f>
        <v>立充充电宝取机柜-仅服务</v>
      </c>
      <c r="P31" s="1" t="str">
        <f>VLOOKUP(C31,[1]Sheet2!G:H,2,FALSE)</f>
        <v>130****4667</v>
      </c>
      <c r="Q31" s="31" t="s">
        <v>77</v>
      </c>
    </row>
    <row r="32" s="1" customFormat="1" spans="1:17">
      <c r="A32" s="8" t="s">
        <v>100</v>
      </c>
      <c r="B32" s="8" t="s">
        <v>87</v>
      </c>
      <c r="C32" s="8" t="s">
        <v>99</v>
      </c>
      <c r="D32" s="8" t="s">
        <v>76</v>
      </c>
      <c r="E32" s="8" t="s">
        <v>45</v>
      </c>
      <c r="F32" s="8" t="s">
        <v>89</v>
      </c>
      <c r="G32" s="8" t="s">
        <v>34</v>
      </c>
      <c r="H32" s="8" t="s">
        <v>27</v>
      </c>
      <c r="I32" s="8" t="s">
        <v>28</v>
      </c>
      <c r="J32" s="8" t="s">
        <v>55</v>
      </c>
      <c r="K32" s="8" t="s">
        <v>30</v>
      </c>
      <c r="L32" s="8" t="s">
        <v>55</v>
      </c>
      <c r="M32" s="8" t="s">
        <v>90</v>
      </c>
      <c r="N32" s="8" t="s">
        <v>36</v>
      </c>
      <c r="O32" s="1" t="str">
        <f>VLOOKUP(C32,[1]Sheet2!A:C,2,FALSE)</f>
        <v>立充充电宝取机柜-仅服务</v>
      </c>
      <c r="P32" s="1" t="str">
        <f>VLOOKUP(C32,[1]Sheet2!G:H,2,FALSE)</f>
        <v>130****4667</v>
      </c>
      <c r="Q32" s="31" t="s">
        <v>77</v>
      </c>
    </row>
    <row r="33" s="1" customFormat="1" spans="1:17">
      <c r="A33" s="8" t="s">
        <v>101</v>
      </c>
      <c r="B33" s="8" t="s">
        <v>87</v>
      </c>
      <c r="C33" s="8" t="s">
        <v>102</v>
      </c>
      <c r="D33" s="8" t="s">
        <v>76</v>
      </c>
      <c r="E33" s="8" t="s">
        <v>45</v>
      </c>
      <c r="F33" s="8" t="s">
        <v>89</v>
      </c>
      <c r="G33" s="8" t="s">
        <v>26</v>
      </c>
      <c r="H33" s="8" t="s">
        <v>27</v>
      </c>
      <c r="I33" s="8" t="s">
        <v>28</v>
      </c>
      <c r="J33" s="8" t="s">
        <v>29</v>
      </c>
      <c r="K33" s="8" t="s">
        <v>30</v>
      </c>
      <c r="L33" s="8" t="s">
        <v>29</v>
      </c>
      <c r="M33" s="8" t="s">
        <v>90</v>
      </c>
      <c r="N33" s="8" t="s">
        <v>31</v>
      </c>
      <c r="O33" s="1" t="str">
        <f>VLOOKUP(C33,[1]Sheet2!A:C,2,FALSE)</f>
        <v>立充充电宝取机柜-仅服务</v>
      </c>
      <c r="P33" s="1" t="str">
        <f>VLOOKUP(C33,[1]Sheet2!G:H,2,FALSE)</f>
        <v>130****4667</v>
      </c>
      <c r="Q33" s="31" t="s">
        <v>77</v>
      </c>
    </row>
    <row r="34" s="1" customFormat="1" spans="1:17">
      <c r="A34" s="8" t="s">
        <v>103</v>
      </c>
      <c r="B34" s="8" t="s">
        <v>87</v>
      </c>
      <c r="C34" s="8" t="s">
        <v>102</v>
      </c>
      <c r="D34" s="8" t="s">
        <v>76</v>
      </c>
      <c r="E34" s="8" t="s">
        <v>45</v>
      </c>
      <c r="F34" s="8" t="s">
        <v>89</v>
      </c>
      <c r="G34" s="8" t="s">
        <v>34</v>
      </c>
      <c r="H34" s="8" t="s">
        <v>27</v>
      </c>
      <c r="I34" s="8" t="s">
        <v>28</v>
      </c>
      <c r="J34" s="8" t="s">
        <v>55</v>
      </c>
      <c r="K34" s="8" t="s">
        <v>30</v>
      </c>
      <c r="L34" s="8" t="s">
        <v>55</v>
      </c>
      <c r="M34" s="8" t="s">
        <v>90</v>
      </c>
      <c r="N34" s="8" t="s">
        <v>36</v>
      </c>
      <c r="O34" s="1" t="str">
        <f>VLOOKUP(C34,[1]Sheet2!A:C,2,FALSE)</f>
        <v>立充充电宝取机柜-仅服务</v>
      </c>
      <c r="P34" s="1" t="str">
        <f>VLOOKUP(C34,[1]Sheet2!G:H,2,FALSE)</f>
        <v>130****4667</v>
      </c>
      <c r="Q34" s="31" t="s">
        <v>77</v>
      </c>
    </row>
    <row r="35" s="1" customFormat="1" spans="1:17">
      <c r="A35" s="8" t="s">
        <v>104</v>
      </c>
      <c r="B35" s="8" t="s">
        <v>87</v>
      </c>
      <c r="C35" s="8" t="s">
        <v>105</v>
      </c>
      <c r="D35" s="8" t="s">
        <v>45</v>
      </c>
      <c r="E35" s="8" t="s">
        <v>45</v>
      </c>
      <c r="F35" s="8" t="s">
        <v>46</v>
      </c>
      <c r="G35" s="8" t="s">
        <v>26</v>
      </c>
      <c r="H35" s="8" t="s">
        <v>27</v>
      </c>
      <c r="I35" s="8" t="s">
        <v>28</v>
      </c>
      <c r="J35" s="8" t="s">
        <v>47</v>
      </c>
      <c r="K35" s="8" t="s">
        <v>30</v>
      </c>
      <c r="L35" s="8" t="s">
        <v>47</v>
      </c>
      <c r="M35" s="8" t="s">
        <v>46</v>
      </c>
      <c r="N35" s="8" t="s">
        <v>31</v>
      </c>
      <c r="O35" s="1" t="str">
        <f>VLOOKUP(C35,[1]Sheet2!A:C,2,FALSE)</f>
        <v>取宝-物流服务</v>
      </c>
      <c r="P35" s="1" t="str">
        <f>VLOOKUP(C35,[1]Sheet2!G:H,2,FALSE)</f>
        <v>186****6788</v>
      </c>
      <c r="Q35" s="12" t="s">
        <v>48</v>
      </c>
    </row>
    <row r="36" s="1" customFormat="1" spans="1:17">
      <c r="A36" s="8" t="s">
        <v>106</v>
      </c>
      <c r="B36" s="8" t="s">
        <v>87</v>
      </c>
      <c r="C36" s="8" t="s">
        <v>105</v>
      </c>
      <c r="D36" s="8" t="s">
        <v>45</v>
      </c>
      <c r="E36" s="8" t="s">
        <v>45</v>
      </c>
      <c r="F36" s="8" t="s">
        <v>46</v>
      </c>
      <c r="G36" s="8" t="s">
        <v>34</v>
      </c>
      <c r="H36" s="8" t="s">
        <v>27</v>
      </c>
      <c r="I36" s="8" t="s">
        <v>28</v>
      </c>
      <c r="J36" s="8" t="s">
        <v>55</v>
      </c>
      <c r="K36" s="8" t="s">
        <v>30</v>
      </c>
      <c r="L36" s="8" t="s">
        <v>55</v>
      </c>
      <c r="M36" s="8" t="s">
        <v>46</v>
      </c>
      <c r="N36" s="8" t="s">
        <v>36</v>
      </c>
      <c r="O36" s="1" t="str">
        <f>VLOOKUP(C36,[1]Sheet2!A:C,2,FALSE)</f>
        <v>取宝-物流服务</v>
      </c>
      <c r="P36" s="1" t="str">
        <f>VLOOKUP(C36,[1]Sheet2!G:H,2,FALSE)</f>
        <v>186****6788</v>
      </c>
      <c r="Q36" s="12" t="s">
        <v>48</v>
      </c>
    </row>
    <row r="37" s="1" customFormat="1" spans="1:17">
      <c r="A37" s="8" t="s">
        <v>107</v>
      </c>
      <c r="B37" s="8" t="s">
        <v>87</v>
      </c>
      <c r="C37" s="8" t="s">
        <v>108</v>
      </c>
      <c r="D37" s="8" t="s">
        <v>45</v>
      </c>
      <c r="E37" s="8" t="s">
        <v>45</v>
      </c>
      <c r="F37" s="8" t="s">
        <v>46</v>
      </c>
      <c r="G37" s="8" t="s">
        <v>26</v>
      </c>
      <c r="H37" s="8" t="s">
        <v>27</v>
      </c>
      <c r="I37" s="8" t="s">
        <v>28</v>
      </c>
      <c r="J37" s="8" t="s">
        <v>47</v>
      </c>
      <c r="K37" s="8" t="s">
        <v>30</v>
      </c>
      <c r="L37" s="8" t="s">
        <v>47</v>
      </c>
      <c r="M37" s="8" t="s">
        <v>46</v>
      </c>
      <c r="N37" s="8" t="s">
        <v>31</v>
      </c>
      <c r="O37" s="1" t="str">
        <f>VLOOKUP(C37,[1]Sheet2!A:C,2,FALSE)</f>
        <v>取宝-物流服务</v>
      </c>
      <c r="P37" s="1" t="str">
        <f>VLOOKUP(C37,[1]Sheet2!G:H,2,FALSE)</f>
        <v>186****6788</v>
      </c>
      <c r="Q37" s="12" t="s">
        <v>48</v>
      </c>
    </row>
    <row r="38" s="1" customFormat="1" spans="1:17">
      <c r="A38" s="8" t="s">
        <v>109</v>
      </c>
      <c r="B38" s="8" t="s">
        <v>87</v>
      </c>
      <c r="C38" s="8" t="s">
        <v>108</v>
      </c>
      <c r="D38" s="8" t="s">
        <v>45</v>
      </c>
      <c r="E38" s="8" t="s">
        <v>45</v>
      </c>
      <c r="F38" s="8" t="s">
        <v>46</v>
      </c>
      <c r="G38" s="8" t="s">
        <v>34</v>
      </c>
      <c r="H38" s="8" t="s">
        <v>27</v>
      </c>
      <c r="I38" s="8" t="s">
        <v>28</v>
      </c>
      <c r="J38" s="8" t="s">
        <v>55</v>
      </c>
      <c r="K38" s="8" t="s">
        <v>30</v>
      </c>
      <c r="L38" s="8" t="s">
        <v>55</v>
      </c>
      <c r="M38" s="8" t="s">
        <v>46</v>
      </c>
      <c r="N38" s="8" t="s">
        <v>36</v>
      </c>
      <c r="O38" s="1" t="str">
        <f>VLOOKUP(C38,[1]Sheet2!A:C,2,FALSE)</f>
        <v>取宝-物流服务</v>
      </c>
      <c r="P38" s="1" t="str">
        <f>VLOOKUP(C38,[1]Sheet2!G:H,2,FALSE)</f>
        <v>186****6788</v>
      </c>
      <c r="Q38" s="12" t="s">
        <v>48</v>
      </c>
    </row>
    <row r="39" s="1" customFormat="1" spans="1:17">
      <c r="A39" s="8" t="s">
        <v>110</v>
      </c>
      <c r="B39" s="8" t="s">
        <v>87</v>
      </c>
      <c r="C39" s="8" t="s">
        <v>111</v>
      </c>
      <c r="D39" s="8" t="s">
        <v>45</v>
      </c>
      <c r="E39" s="8" t="s">
        <v>45</v>
      </c>
      <c r="F39" s="8" t="s">
        <v>46</v>
      </c>
      <c r="G39" s="8" t="s">
        <v>112</v>
      </c>
      <c r="H39" s="8" t="s">
        <v>27</v>
      </c>
      <c r="I39" s="8" t="s">
        <v>28</v>
      </c>
      <c r="J39" s="8" t="s">
        <v>113</v>
      </c>
      <c r="K39" s="8" t="s">
        <v>30</v>
      </c>
      <c r="L39" s="8" t="s">
        <v>113</v>
      </c>
      <c r="M39" s="8" t="s">
        <v>46</v>
      </c>
      <c r="N39" s="8" t="s">
        <v>31</v>
      </c>
      <c r="O39" s="1" t="str">
        <f>VLOOKUP(C39,[1]Sheet2!A:C,2,FALSE)</f>
        <v>立充充电宝取机柜-物流服务</v>
      </c>
      <c r="P39" s="1" t="str">
        <f>VLOOKUP(C39,[1]Sheet2!G:H,2,FALSE)</f>
        <v>186****6788</v>
      </c>
      <c r="Q39" s="12" t="s">
        <v>48</v>
      </c>
    </row>
    <row r="40" s="1" customFormat="1" spans="1:17">
      <c r="A40" s="8" t="s">
        <v>114</v>
      </c>
      <c r="B40" s="8" t="s">
        <v>87</v>
      </c>
      <c r="C40" s="8" t="s">
        <v>111</v>
      </c>
      <c r="D40" s="8" t="s">
        <v>45</v>
      </c>
      <c r="E40" s="8" t="s">
        <v>45</v>
      </c>
      <c r="F40" s="8" t="s">
        <v>46</v>
      </c>
      <c r="G40" s="8" t="s">
        <v>34</v>
      </c>
      <c r="H40" s="8" t="s">
        <v>27</v>
      </c>
      <c r="I40" s="8" t="s">
        <v>28</v>
      </c>
      <c r="J40" s="8" t="s">
        <v>97</v>
      </c>
      <c r="K40" s="8" t="s">
        <v>30</v>
      </c>
      <c r="L40" s="8" t="s">
        <v>97</v>
      </c>
      <c r="M40" s="8" t="s">
        <v>46</v>
      </c>
      <c r="N40" s="8" t="s">
        <v>36</v>
      </c>
      <c r="O40" s="1" t="str">
        <f>VLOOKUP(C40,[1]Sheet2!A:C,2,FALSE)</f>
        <v>立充充电宝取机柜-物流服务</v>
      </c>
      <c r="P40" s="1" t="str">
        <f>VLOOKUP(C40,[1]Sheet2!G:H,2,FALSE)</f>
        <v>186****6788</v>
      </c>
      <c r="Q40" s="12" t="s">
        <v>48</v>
      </c>
    </row>
    <row r="41" s="1" customFormat="1" spans="1:17">
      <c r="A41" s="8" t="s">
        <v>115</v>
      </c>
      <c r="B41" s="8" t="s">
        <v>87</v>
      </c>
      <c r="C41" s="8" t="s">
        <v>116</v>
      </c>
      <c r="D41" s="8" t="s">
        <v>45</v>
      </c>
      <c r="E41" s="8" t="s">
        <v>45</v>
      </c>
      <c r="F41" s="8" t="s">
        <v>46</v>
      </c>
      <c r="G41" s="8" t="s">
        <v>117</v>
      </c>
      <c r="H41" s="8" t="s">
        <v>27</v>
      </c>
      <c r="I41" s="8" t="s">
        <v>28</v>
      </c>
      <c r="J41" s="8" t="s">
        <v>118</v>
      </c>
      <c r="K41" s="8" t="s">
        <v>30</v>
      </c>
      <c r="L41" s="8" t="s">
        <v>118</v>
      </c>
      <c r="M41" s="8" t="s">
        <v>46</v>
      </c>
      <c r="N41" s="8" t="s">
        <v>31</v>
      </c>
      <c r="O41" s="1" t="str">
        <f>VLOOKUP(C41,[1]Sheet2!A:C,2,FALSE)</f>
        <v>立充充电宝取机柜-物流服务</v>
      </c>
      <c r="P41" s="1" t="str">
        <f>VLOOKUP(C41,[1]Sheet2!G:H,2,FALSE)</f>
        <v>186****6788</v>
      </c>
      <c r="Q41" s="12" t="s">
        <v>48</v>
      </c>
    </row>
    <row r="42" s="1" customFormat="1" spans="1:17">
      <c r="A42" s="8" t="s">
        <v>119</v>
      </c>
      <c r="B42" s="8" t="s">
        <v>87</v>
      </c>
      <c r="C42" s="8" t="s">
        <v>116</v>
      </c>
      <c r="D42" s="8" t="s">
        <v>45</v>
      </c>
      <c r="E42" s="8" t="s">
        <v>45</v>
      </c>
      <c r="F42" s="8" t="s">
        <v>46</v>
      </c>
      <c r="G42" s="8" t="s">
        <v>34</v>
      </c>
      <c r="H42" s="8" t="s">
        <v>27</v>
      </c>
      <c r="I42" s="8" t="s">
        <v>28</v>
      </c>
      <c r="J42" s="8" t="s">
        <v>70</v>
      </c>
      <c r="K42" s="8" t="s">
        <v>30</v>
      </c>
      <c r="L42" s="8" t="s">
        <v>70</v>
      </c>
      <c r="M42" s="8" t="s">
        <v>46</v>
      </c>
      <c r="N42" s="8" t="s">
        <v>36</v>
      </c>
      <c r="O42" s="1" t="str">
        <f>VLOOKUP(C42,[1]Sheet2!A:C,2,FALSE)</f>
        <v>立充充电宝取机柜-物流服务</v>
      </c>
      <c r="P42" s="1" t="str">
        <f>VLOOKUP(C42,[1]Sheet2!G:H,2,FALSE)</f>
        <v>186****6788</v>
      </c>
      <c r="Q42" s="12" t="s">
        <v>48</v>
      </c>
    </row>
    <row r="43" s="1" customFormat="1" spans="1:17">
      <c r="A43" s="8" t="s">
        <v>120</v>
      </c>
      <c r="B43" s="8" t="s">
        <v>87</v>
      </c>
      <c r="C43" s="8" t="s">
        <v>121</v>
      </c>
      <c r="D43" s="8" t="s">
        <v>45</v>
      </c>
      <c r="E43" s="8" t="s">
        <v>45</v>
      </c>
      <c r="F43" s="8" t="s">
        <v>46</v>
      </c>
      <c r="G43" s="8" t="s">
        <v>122</v>
      </c>
      <c r="H43" s="8" t="s">
        <v>27</v>
      </c>
      <c r="I43" s="8" t="s">
        <v>28</v>
      </c>
      <c r="J43" s="8" t="s">
        <v>123</v>
      </c>
      <c r="K43" s="8" t="s">
        <v>30</v>
      </c>
      <c r="L43" s="8" t="s">
        <v>123</v>
      </c>
      <c r="M43" s="8" t="s">
        <v>46</v>
      </c>
      <c r="N43" s="8" t="s">
        <v>31</v>
      </c>
      <c r="O43" s="1" t="str">
        <f>VLOOKUP(C43,[1]Sheet2!A:C,2,FALSE)</f>
        <v>立充充电宝取机柜-物流服务</v>
      </c>
      <c r="P43" s="1" t="str">
        <f>VLOOKUP(C43,[1]Sheet2!G:H,2,FALSE)</f>
        <v>186****6788</v>
      </c>
      <c r="Q43" s="12" t="s">
        <v>48</v>
      </c>
    </row>
    <row r="44" s="1" customFormat="1" spans="1:17">
      <c r="A44" s="8" t="s">
        <v>124</v>
      </c>
      <c r="B44" s="8" t="s">
        <v>87</v>
      </c>
      <c r="C44" s="8" t="s">
        <v>121</v>
      </c>
      <c r="D44" s="8" t="s">
        <v>45</v>
      </c>
      <c r="E44" s="8" t="s">
        <v>45</v>
      </c>
      <c r="F44" s="8" t="s">
        <v>46</v>
      </c>
      <c r="G44" s="8" t="s">
        <v>34</v>
      </c>
      <c r="H44" s="8" t="s">
        <v>27</v>
      </c>
      <c r="I44" s="8" t="s">
        <v>28</v>
      </c>
      <c r="J44" s="8" t="s">
        <v>113</v>
      </c>
      <c r="K44" s="8" t="s">
        <v>30</v>
      </c>
      <c r="L44" s="8" t="s">
        <v>113</v>
      </c>
      <c r="M44" s="8" t="s">
        <v>46</v>
      </c>
      <c r="N44" s="8" t="s">
        <v>36</v>
      </c>
      <c r="O44" s="1" t="str">
        <f>VLOOKUP(C44,[1]Sheet2!A:C,2,FALSE)</f>
        <v>立充充电宝取机柜-物流服务</v>
      </c>
      <c r="P44" s="1" t="str">
        <f>VLOOKUP(C44,[1]Sheet2!G:H,2,FALSE)</f>
        <v>186****6788</v>
      </c>
      <c r="Q44" s="12" t="s">
        <v>48</v>
      </c>
    </row>
    <row r="45" s="1" customFormat="1" spans="1:17">
      <c r="A45" s="8" t="s">
        <v>125</v>
      </c>
      <c r="B45" s="8" t="s">
        <v>87</v>
      </c>
      <c r="C45" s="8" t="s">
        <v>126</v>
      </c>
      <c r="D45" s="8" t="s">
        <v>45</v>
      </c>
      <c r="E45" s="8" t="s">
        <v>45</v>
      </c>
      <c r="F45" s="8" t="s">
        <v>46</v>
      </c>
      <c r="G45" s="8" t="s">
        <v>26</v>
      </c>
      <c r="H45" s="8" t="s">
        <v>27</v>
      </c>
      <c r="I45" s="8" t="s">
        <v>28</v>
      </c>
      <c r="J45" s="8" t="s">
        <v>47</v>
      </c>
      <c r="K45" s="8" t="s">
        <v>30</v>
      </c>
      <c r="L45" s="8" t="s">
        <v>47</v>
      </c>
      <c r="M45" s="8" t="s">
        <v>46</v>
      </c>
      <c r="N45" s="8" t="s">
        <v>31</v>
      </c>
      <c r="O45" s="1" t="str">
        <f>VLOOKUP(C45,[1]Sheet2!A:C,2,FALSE)</f>
        <v>取宝-物流服务</v>
      </c>
      <c r="P45" s="1" t="str">
        <f>VLOOKUP(C45,[1]Sheet2!G:H,2,FALSE)</f>
        <v>186****6788</v>
      </c>
      <c r="Q45" s="12" t="s">
        <v>48</v>
      </c>
    </row>
    <row r="46" s="1" customFormat="1" spans="1:17">
      <c r="A46" s="8" t="s">
        <v>127</v>
      </c>
      <c r="B46" s="8" t="s">
        <v>87</v>
      </c>
      <c r="C46" s="8" t="s">
        <v>128</v>
      </c>
      <c r="D46" s="8" t="s">
        <v>45</v>
      </c>
      <c r="E46" s="8" t="s">
        <v>45</v>
      </c>
      <c r="F46" s="8" t="s">
        <v>46</v>
      </c>
      <c r="G46" s="8" t="s">
        <v>26</v>
      </c>
      <c r="H46" s="8" t="s">
        <v>27</v>
      </c>
      <c r="I46" s="8" t="s">
        <v>28</v>
      </c>
      <c r="J46" s="8" t="s">
        <v>47</v>
      </c>
      <c r="K46" s="8" t="s">
        <v>30</v>
      </c>
      <c r="L46" s="8" t="s">
        <v>47</v>
      </c>
      <c r="M46" s="8" t="s">
        <v>46</v>
      </c>
      <c r="N46" s="8" t="s">
        <v>31</v>
      </c>
      <c r="O46" s="1" t="str">
        <f>VLOOKUP(C46,[1]Sheet2!A:C,2,FALSE)</f>
        <v>取宝-物流服务</v>
      </c>
      <c r="P46" s="1" t="str">
        <f>VLOOKUP(C46,[1]Sheet2!G:H,2,FALSE)</f>
        <v>186****6788</v>
      </c>
      <c r="Q46" s="12" t="s">
        <v>48</v>
      </c>
    </row>
    <row r="47" s="1" customFormat="1" spans="1:17">
      <c r="A47" s="8" t="s">
        <v>129</v>
      </c>
      <c r="B47" s="8" t="s">
        <v>87</v>
      </c>
      <c r="C47" s="8" t="s">
        <v>38</v>
      </c>
      <c r="D47" s="8" t="s">
        <v>23</v>
      </c>
      <c r="E47" s="8" t="s">
        <v>24</v>
      </c>
      <c r="F47" s="8" t="s">
        <v>25</v>
      </c>
      <c r="G47" s="8" t="s">
        <v>34</v>
      </c>
      <c r="H47" s="8" t="s">
        <v>27</v>
      </c>
      <c r="I47" s="8" t="s">
        <v>69</v>
      </c>
      <c r="J47" s="8" t="s">
        <v>84</v>
      </c>
      <c r="K47" s="8" t="s">
        <v>30</v>
      </c>
      <c r="L47" s="8" t="s">
        <v>84</v>
      </c>
      <c r="M47" s="8" t="s">
        <v>25</v>
      </c>
      <c r="N47" s="8" t="s">
        <v>71</v>
      </c>
      <c r="O47" s="1" t="str">
        <f>VLOOKUP(C47,[1]Sheet2!A:C,2,FALSE)</f>
        <v>立充充电宝取机柜-物流服务</v>
      </c>
      <c r="P47" s="1" t="str">
        <f>VLOOKUP(C47,[1]Sheet2!G:H,2,FALSE)</f>
        <v>134****6101</v>
      </c>
      <c r="Q47" s="31" t="s">
        <v>32</v>
      </c>
    </row>
    <row r="48" s="1" customFormat="1" spans="1:17">
      <c r="A48" s="8" t="s">
        <v>130</v>
      </c>
      <c r="B48" s="8" t="s">
        <v>87</v>
      </c>
      <c r="C48" s="8" t="s">
        <v>131</v>
      </c>
      <c r="D48" s="8" t="s">
        <v>45</v>
      </c>
      <c r="E48" s="8" t="s">
        <v>45</v>
      </c>
      <c r="F48" s="8" t="s">
        <v>46</v>
      </c>
      <c r="G48" s="8" t="s">
        <v>26</v>
      </c>
      <c r="H48" s="8" t="s">
        <v>27</v>
      </c>
      <c r="I48" s="8" t="s">
        <v>28</v>
      </c>
      <c r="J48" s="8" t="s">
        <v>47</v>
      </c>
      <c r="K48" s="8" t="s">
        <v>30</v>
      </c>
      <c r="L48" s="8" t="s">
        <v>47</v>
      </c>
      <c r="M48" s="8" t="s">
        <v>46</v>
      </c>
      <c r="N48" s="8" t="s">
        <v>31</v>
      </c>
      <c r="O48" s="1" t="str">
        <f>VLOOKUP(C48,[1]Sheet2!A:C,2,FALSE)</f>
        <v>取宝-物流服务</v>
      </c>
      <c r="P48" s="1" t="str">
        <f>VLOOKUP(C48,[1]Sheet2!G:H,2,FALSE)</f>
        <v>186****6788</v>
      </c>
      <c r="Q48" s="12" t="s">
        <v>48</v>
      </c>
    </row>
    <row r="49" s="1" customFormat="1" spans="1:17">
      <c r="A49" s="8" t="s">
        <v>132</v>
      </c>
      <c r="B49" s="8" t="s">
        <v>87</v>
      </c>
      <c r="C49" s="8" t="s">
        <v>133</v>
      </c>
      <c r="D49" s="8" t="s">
        <v>45</v>
      </c>
      <c r="E49" s="8" t="s">
        <v>45</v>
      </c>
      <c r="F49" s="8" t="s">
        <v>46</v>
      </c>
      <c r="G49" s="8" t="s">
        <v>94</v>
      </c>
      <c r="H49" s="8" t="s">
        <v>27</v>
      </c>
      <c r="I49" s="8" t="s">
        <v>28</v>
      </c>
      <c r="J49" s="8" t="s">
        <v>113</v>
      </c>
      <c r="K49" s="8" t="s">
        <v>30</v>
      </c>
      <c r="L49" s="8" t="s">
        <v>113</v>
      </c>
      <c r="M49" s="8" t="s">
        <v>46</v>
      </c>
      <c r="N49" s="8" t="s">
        <v>31</v>
      </c>
      <c r="O49" s="1" t="str">
        <f>VLOOKUP(C49,[1]Sheet2!A:C,2,FALSE)</f>
        <v>立充充电宝取机柜-物流服务</v>
      </c>
      <c r="P49" s="1" t="str">
        <f>VLOOKUP(C49,[1]Sheet2!G:H,2,FALSE)</f>
        <v>186****6788</v>
      </c>
      <c r="Q49" s="12" t="s">
        <v>48</v>
      </c>
    </row>
    <row r="50" s="1" customFormat="1" spans="1:17">
      <c r="A50" s="8" t="s">
        <v>134</v>
      </c>
      <c r="B50" s="8" t="s">
        <v>87</v>
      </c>
      <c r="C50" s="8" t="s">
        <v>133</v>
      </c>
      <c r="D50" s="8" t="s">
        <v>45</v>
      </c>
      <c r="E50" s="8" t="s">
        <v>45</v>
      </c>
      <c r="F50" s="8" t="s">
        <v>46</v>
      </c>
      <c r="G50" s="8" t="s">
        <v>34</v>
      </c>
      <c r="H50" s="8" t="s">
        <v>27</v>
      </c>
      <c r="I50" s="8" t="s">
        <v>28</v>
      </c>
      <c r="J50" s="8" t="s">
        <v>84</v>
      </c>
      <c r="K50" s="8" t="s">
        <v>30</v>
      </c>
      <c r="L50" s="8" t="s">
        <v>84</v>
      </c>
      <c r="M50" s="8" t="s">
        <v>46</v>
      </c>
      <c r="N50" s="8" t="s">
        <v>36</v>
      </c>
      <c r="O50" s="1" t="str">
        <f>VLOOKUP(C50,[1]Sheet2!A:C,2,FALSE)</f>
        <v>立充充电宝取机柜-物流服务</v>
      </c>
      <c r="P50" s="1" t="str">
        <f>VLOOKUP(C50,[1]Sheet2!G:H,2,FALSE)</f>
        <v>186****6788</v>
      </c>
      <c r="Q50" s="12" t="s">
        <v>48</v>
      </c>
    </row>
    <row r="51" s="1" customFormat="1" spans="1:17">
      <c r="A51" s="8" t="s">
        <v>135</v>
      </c>
      <c r="B51" s="8" t="s">
        <v>87</v>
      </c>
      <c r="C51" s="8" t="s">
        <v>136</v>
      </c>
      <c r="D51" s="8" t="s">
        <v>45</v>
      </c>
      <c r="E51" s="8" t="s">
        <v>137</v>
      </c>
      <c r="F51" s="8" t="s">
        <v>138</v>
      </c>
      <c r="G51" s="8" t="s">
        <v>26</v>
      </c>
      <c r="H51" s="8" t="s">
        <v>27</v>
      </c>
      <c r="I51" s="8" t="s">
        <v>28</v>
      </c>
      <c r="J51" s="8" t="s">
        <v>113</v>
      </c>
      <c r="K51" s="8" t="s">
        <v>30</v>
      </c>
      <c r="L51" s="8" t="s">
        <v>113</v>
      </c>
      <c r="M51" s="8" t="s">
        <v>46</v>
      </c>
      <c r="N51" s="8" t="s">
        <v>31</v>
      </c>
      <c r="O51" s="1" t="str">
        <f>VLOOKUP(C51,[1]Sheet2!A:C,2,FALSE)</f>
        <v>补宝-物流服务</v>
      </c>
      <c r="P51" s="1" t="str">
        <f>VLOOKUP(C51,[1]Sheet2!G:H,2,FALSE)</f>
        <v>186****6788</v>
      </c>
      <c r="Q51" s="12" t="s">
        <v>48</v>
      </c>
    </row>
    <row r="52" s="1" customFormat="1" spans="1:17">
      <c r="A52" s="8" t="s">
        <v>139</v>
      </c>
      <c r="B52" s="8" t="s">
        <v>140</v>
      </c>
      <c r="C52" s="8" t="s">
        <v>105</v>
      </c>
      <c r="D52" s="8" t="s">
        <v>45</v>
      </c>
      <c r="E52" s="8" t="s">
        <v>45</v>
      </c>
      <c r="F52" s="8" t="s">
        <v>46</v>
      </c>
      <c r="G52" s="8" t="s">
        <v>34</v>
      </c>
      <c r="H52" s="8" t="s">
        <v>27</v>
      </c>
      <c r="I52" s="8" t="s">
        <v>69</v>
      </c>
      <c r="J52" s="8" t="s">
        <v>70</v>
      </c>
      <c r="K52" s="8" t="s">
        <v>30</v>
      </c>
      <c r="L52" s="8" t="s">
        <v>70</v>
      </c>
      <c r="M52" s="8" t="s">
        <v>46</v>
      </c>
      <c r="N52" s="8" t="s">
        <v>71</v>
      </c>
      <c r="O52" s="1" t="str">
        <f>VLOOKUP(C52,[1]Sheet2!A:C,2,FALSE)</f>
        <v>取宝-物流服务</v>
      </c>
      <c r="P52" s="1" t="str">
        <f>VLOOKUP(C52,[1]Sheet2!G:H,2,FALSE)</f>
        <v>186****6788</v>
      </c>
      <c r="Q52" s="12" t="s">
        <v>48</v>
      </c>
    </row>
    <row r="53" s="1" customFormat="1" spans="1:17">
      <c r="A53" s="8" t="s">
        <v>141</v>
      </c>
      <c r="B53" s="8" t="s">
        <v>140</v>
      </c>
      <c r="C53" s="8" t="s">
        <v>108</v>
      </c>
      <c r="D53" s="8" t="s">
        <v>45</v>
      </c>
      <c r="E53" s="8" t="s">
        <v>45</v>
      </c>
      <c r="F53" s="8" t="s">
        <v>46</v>
      </c>
      <c r="G53" s="8" t="s">
        <v>34</v>
      </c>
      <c r="H53" s="8" t="s">
        <v>27</v>
      </c>
      <c r="I53" s="8" t="s">
        <v>69</v>
      </c>
      <c r="J53" s="8" t="s">
        <v>70</v>
      </c>
      <c r="K53" s="8" t="s">
        <v>30</v>
      </c>
      <c r="L53" s="8" t="s">
        <v>70</v>
      </c>
      <c r="M53" s="8" t="s">
        <v>46</v>
      </c>
      <c r="N53" s="8" t="s">
        <v>71</v>
      </c>
      <c r="O53" s="1" t="str">
        <f>VLOOKUP(C53,[1]Sheet2!A:C,2,FALSE)</f>
        <v>取宝-物流服务</v>
      </c>
      <c r="P53" s="1" t="str">
        <f>VLOOKUP(C53,[1]Sheet2!G:H,2,FALSE)</f>
        <v>186****6788</v>
      </c>
      <c r="Q53" s="12" t="s">
        <v>48</v>
      </c>
    </row>
    <row r="54" s="1" customFormat="1" spans="1:17">
      <c r="A54" s="8" t="s">
        <v>142</v>
      </c>
      <c r="B54" s="8" t="s">
        <v>140</v>
      </c>
      <c r="C54" s="8" t="s">
        <v>111</v>
      </c>
      <c r="D54" s="8" t="s">
        <v>45</v>
      </c>
      <c r="E54" s="8" t="s">
        <v>45</v>
      </c>
      <c r="F54" s="8" t="s">
        <v>46</v>
      </c>
      <c r="G54" s="8" t="s">
        <v>34</v>
      </c>
      <c r="H54" s="8" t="s">
        <v>27</v>
      </c>
      <c r="I54" s="8" t="s">
        <v>69</v>
      </c>
      <c r="J54" s="8" t="s">
        <v>84</v>
      </c>
      <c r="K54" s="8" t="s">
        <v>30</v>
      </c>
      <c r="L54" s="8" t="s">
        <v>84</v>
      </c>
      <c r="M54" s="8" t="s">
        <v>46</v>
      </c>
      <c r="N54" s="8" t="s">
        <v>71</v>
      </c>
      <c r="O54" s="1" t="str">
        <f>VLOOKUP(C54,[1]Sheet2!A:C,2,FALSE)</f>
        <v>立充充电宝取机柜-物流服务</v>
      </c>
      <c r="P54" s="1" t="str">
        <f>VLOOKUP(C54,[1]Sheet2!G:H,2,FALSE)</f>
        <v>186****6788</v>
      </c>
      <c r="Q54" s="12" t="s">
        <v>48</v>
      </c>
    </row>
    <row r="55" s="1" customFormat="1" spans="1:17">
      <c r="A55" s="8" t="s">
        <v>143</v>
      </c>
      <c r="B55" s="8" t="s">
        <v>140</v>
      </c>
      <c r="C55" s="8" t="s">
        <v>116</v>
      </c>
      <c r="D55" s="8" t="s">
        <v>45</v>
      </c>
      <c r="E55" s="8" t="s">
        <v>45</v>
      </c>
      <c r="F55" s="8" t="s">
        <v>46</v>
      </c>
      <c r="G55" s="8" t="s">
        <v>34</v>
      </c>
      <c r="H55" s="8" t="s">
        <v>27</v>
      </c>
      <c r="I55" s="8" t="s">
        <v>69</v>
      </c>
      <c r="J55" s="8" t="s">
        <v>84</v>
      </c>
      <c r="K55" s="8" t="s">
        <v>30</v>
      </c>
      <c r="L55" s="8" t="s">
        <v>84</v>
      </c>
      <c r="M55" s="8" t="s">
        <v>46</v>
      </c>
      <c r="N55" s="8" t="s">
        <v>71</v>
      </c>
      <c r="O55" s="1" t="str">
        <f>VLOOKUP(C55,[1]Sheet2!A:C,2,FALSE)</f>
        <v>立充充电宝取机柜-物流服务</v>
      </c>
      <c r="P55" s="1" t="str">
        <f>VLOOKUP(C55,[1]Sheet2!G:H,2,FALSE)</f>
        <v>186****6788</v>
      </c>
      <c r="Q55" s="12" t="s">
        <v>48</v>
      </c>
    </row>
    <row r="56" s="1" customFormat="1" spans="1:17">
      <c r="A56" s="8" t="s">
        <v>144</v>
      </c>
      <c r="B56" s="8" t="s">
        <v>140</v>
      </c>
      <c r="C56" s="8" t="s">
        <v>121</v>
      </c>
      <c r="D56" s="8" t="s">
        <v>45</v>
      </c>
      <c r="E56" s="8" t="s">
        <v>45</v>
      </c>
      <c r="F56" s="8" t="s">
        <v>46</v>
      </c>
      <c r="G56" s="8" t="s">
        <v>34</v>
      </c>
      <c r="H56" s="8" t="s">
        <v>27</v>
      </c>
      <c r="I56" s="8" t="s">
        <v>69</v>
      </c>
      <c r="J56" s="8" t="s">
        <v>84</v>
      </c>
      <c r="K56" s="8" t="s">
        <v>30</v>
      </c>
      <c r="L56" s="8" t="s">
        <v>84</v>
      </c>
      <c r="M56" s="8" t="s">
        <v>46</v>
      </c>
      <c r="N56" s="8" t="s">
        <v>71</v>
      </c>
      <c r="O56" s="1" t="str">
        <f>VLOOKUP(C56,[1]Sheet2!A:C,2,FALSE)</f>
        <v>立充充电宝取机柜-物流服务</v>
      </c>
      <c r="P56" s="1" t="str">
        <f>VLOOKUP(C56,[1]Sheet2!G:H,2,FALSE)</f>
        <v>186****6788</v>
      </c>
      <c r="Q56" s="12" t="s">
        <v>48</v>
      </c>
    </row>
    <row r="57" s="1" customFormat="1" spans="1:17">
      <c r="A57" s="8" t="s">
        <v>145</v>
      </c>
      <c r="B57" s="8" t="s">
        <v>140</v>
      </c>
      <c r="C57" s="8" t="s">
        <v>126</v>
      </c>
      <c r="D57" s="8" t="s">
        <v>45</v>
      </c>
      <c r="E57" s="8" t="s">
        <v>45</v>
      </c>
      <c r="F57" s="8" t="s">
        <v>46</v>
      </c>
      <c r="G57" s="8" t="s">
        <v>34</v>
      </c>
      <c r="H57" s="8" t="s">
        <v>27</v>
      </c>
      <c r="I57" s="8" t="s">
        <v>69</v>
      </c>
      <c r="J57" s="8" t="s">
        <v>70</v>
      </c>
      <c r="K57" s="8" t="s">
        <v>30</v>
      </c>
      <c r="L57" s="8" t="s">
        <v>70</v>
      </c>
      <c r="M57" s="8" t="s">
        <v>46</v>
      </c>
      <c r="N57" s="8" t="s">
        <v>71</v>
      </c>
      <c r="O57" s="1" t="str">
        <f>VLOOKUP(C57,[1]Sheet2!A:C,2,FALSE)</f>
        <v>取宝-物流服务</v>
      </c>
      <c r="P57" s="1" t="str">
        <f>VLOOKUP(C57,[1]Sheet2!G:H,2,FALSE)</f>
        <v>186****6788</v>
      </c>
      <c r="Q57" s="12" t="s">
        <v>48</v>
      </c>
    </row>
    <row r="58" s="1" customFormat="1" spans="1:17">
      <c r="A58" s="8" t="s">
        <v>146</v>
      </c>
      <c r="B58" s="8" t="s">
        <v>140</v>
      </c>
      <c r="C58" s="8" t="s">
        <v>128</v>
      </c>
      <c r="D58" s="8" t="s">
        <v>45</v>
      </c>
      <c r="E58" s="8" t="s">
        <v>45</v>
      </c>
      <c r="F58" s="8" t="s">
        <v>46</v>
      </c>
      <c r="G58" s="8" t="s">
        <v>34</v>
      </c>
      <c r="H58" s="8" t="s">
        <v>27</v>
      </c>
      <c r="I58" s="8" t="s">
        <v>69</v>
      </c>
      <c r="J58" s="8" t="s">
        <v>70</v>
      </c>
      <c r="K58" s="8" t="s">
        <v>30</v>
      </c>
      <c r="L58" s="8" t="s">
        <v>70</v>
      </c>
      <c r="M58" s="8" t="s">
        <v>46</v>
      </c>
      <c r="N58" s="8" t="s">
        <v>71</v>
      </c>
      <c r="O58" s="1" t="str">
        <f>VLOOKUP(C58,[1]Sheet2!A:C,2,FALSE)</f>
        <v>取宝-物流服务</v>
      </c>
      <c r="P58" s="1" t="str">
        <f>VLOOKUP(C58,[1]Sheet2!G:H,2,FALSE)</f>
        <v>186****6788</v>
      </c>
      <c r="Q58" s="12" t="s">
        <v>48</v>
      </c>
    </row>
    <row r="59" s="1" customFormat="1" spans="1:17">
      <c r="A59" s="8" t="s">
        <v>147</v>
      </c>
      <c r="B59" s="8" t="s">
        <v>140</v>
      </c>
      <c r="C59" s="8" t="s">
        <v>131</v>
      </c>
      <c r="D59" s="8" t="s">
        <v>45</v>
      </c>
      <c r="E59" s="8" t="s">
        <v>45</v>
      </c>
      <c r="F59" s="8" t="s">
        <v>46</v>
      </c>
      <c r="G59" s="8" t="s">
        <v>34</v>
      </c>
      <c r="H59" s="8" t="s">
        <v>27</v>
      </c>
      <c r="I59" s="8" t="s">
        <v>69</v>
      </c>
      <c r="J59" s="8" t="s">
        <v>70</v>
      </c>
      <c r="K59" s="8" t="s">
        <v>30</v>
      </c>
      <c r="L59" s="8" t="s">
        <v>70</v>
      </c>
      <c r="M59" s="8" t="s">
        <v>46</v>
      </c>
      <c r="N59" s="8" t="s">
        <v>71</v>
      </c>
      <c r="O59" s="1" t="str">
        <f>VLOOKUP(C59,[1]Sheet2!A:C,2,FALSE)</f>
        <v>取宝-物流服务</v>
      </c>
      <c r="P59" s="1" t="str">
        <f>VLOOKUP(C59,[1]Sheet2!G:H,2,FALSE)</f>
        <v>186****6788</v>
      </c>
      <c r="Q59" s="12" t="s">
        <v>48</v>
      </c>
    </row>
    <row r="60" s="1" customFormat="1" spans="1:17">
      <c r="A60" s="8" t="s">
        <v>148</v>
      </c>
      <c r="B60" s="8" t="s">
        <v>140</v>
      </c>
      <c r="C60" s="8" t="s">
        <v>133</v>
      </c>
      <c r="D60" s="8" t="s">
        <v>45</v>
      </c>
      <c r="E60" s="8" t="s">
        <v>45</v>
      </c>
      <c r="F60" s="8" t="s">
        <v>46</v>
      </c>
      <c r="G60" s="8" t="s">
        <v>34</v>
      </c>
      <c r="H60" s="8" t="s">
        <v>27</v>
      </c>
      <c r="I60" s="8" t="s">
        <v>69</v>
      </c>
      <c r="J60" s="8" t="s">
        <v>84</v>
      </c>
      <c r="K60" s="8" t="s">
        <v>30</v>
      </c>
      <c r="L60" s="8" t="s">
        <v>84</v>
      </c>
      <c r="M60" s="8" t="s">
        <v>46</v>
      </c>
      <c r="N60" s="8" t="s">
        <v>71</v>
      </c>
      <c r="O60" s="1" t="str">
        <f>VLOOKUP(C60,[1]Sheet2!A:C,2,FALSE)</f>
        <v>立充充电宝取机柜-物流服务</v>
      </c>
      <c r="P60" s="1" t="str">
        <f>VLOOKUP(C60,[1]Sheet2!G:H,2,FALSE)</f>
        <v>186****6788</v>
      </c>
      <c r="Q60" s="12" t="s">
        <v>48</v>
      </c>
    </row>
    <row r="61" s="1" customFormat="1" spans="1:17">
      <c r="A61" s="8" t="s">
        <v>149</v>
      </c>
      <c r="B61" s="8" t="s">
        <v>150</v>
      </c>
      <c r="C61" s="8" t="s">
        <v>151</v>
      </c>
      <c r="D61" s="8" t="s">
        <v>152</v>
      </c>
      <c r="E61" s="8" t="s">
        <v>24</v>
      </c>
      <c r="F61" s="8" t="s">
        <v>153</v>
      </c>
      <c r="G61" s="8" t="s">
        <v>26</v>
      </c>
      <c r="H61" s="8" t="s">
        <v>27</v>
      </c>
      <c r="I61" s="8" t="s">
        <v>28</v>
      </c>
      <c r="J61" s="8" t="s">
        <v>40</v>
      </c>
      <c r="K61" s="8" t="s">
        <v>30</v>
      </c>
      <c r="L61" s="8" t="s">
        <v>40</v>
      </c>
      <c r="M61" s="8" t="s">
        <v>153</v>
      </c>
      <c r="N61" s="8" t="s">
        <v>31</v>
      </c>
      <c r="O61" s="1" t="str">
        <f>VLOOKUP(C61,[1]Sheet2!A:C,2,FALSE)</f>
        <v>取宝-物流服务</v>
      </c>
      <c r="P61" s="1" t="str">
        <f>VLOOKUP(C61,[1]Sheet2!G:H,2,FALSE)</f>
        <v>134****6101</v>
      </c>
      <c r="Q61" s="31" t="s">
        <v>32</v>
      </c>
    </row>
    <row r="62" s="1" customFormat="1" spans="1:17">
      <c r="A62" s="8" t="s">
        <v>154</v>
      </c>
      <c r="B62" s="8" t="s">
        <v>150</v>
      </c>
      <c r="C62" s="8" t="s">
        <v>151</v>
      </c>
      <c r="D62" s="8" t="s">
        <v>152</v>
      </c>
      <c r="E62" s="8" t="s">
        <v>24</v>
      </c>
      <c r="F62" s="8" t="s">
        <v>153</v>
      </c>
      <c r="G62" s="8" t="s">
        <v>34</v>
      </c>
      <c r="H62" s="8" t="s">
        <v>27</v>
      </c>
      <c r="I62" s="8" t="s">
        <v>28</v>
      </c>
      <c r="J62" s="8" t="s">
        <v>55</v>
      </c>
      <c r="K62" s="8" t="s">
        <v>30</v>
      </c>
      <c r="L62" s="8" t="s">
        <v>55</v>
      </c>
      <c r="M62" s="8" t="s">
        <v>153</v>
      </c>
      <c r="N62" s="8" t="s">
        <v>36</v>
      </c>
      <c r="O62" s="1" t="str">
        <f>VLOOKUP(C62,[1]Sheet2!A:C,2,FALSE)</f>
        <v>取宝-物流服务</v>
      </c>
      <c r="P62" s="1" t="str">
        <f>VLOOKUP(C62,[1]Sheet2!G:H,2,FALSE)</f>
        <v>134****6101</v>
      </c>
      <c r="Q62" s="31" t="s">
        <v>32</v>
      </c>
    </row>
    <row r="63" s="1" customFormat="1" spans="1:17">
      <c r="A63" s="8" t="s">
        <v>155</v>
      </c>
      <c r="B63" s="8" t="s">
        <v>150</v>
      </c>
      <c r="C63" s="8" t="s">
        <v>156</v>
      </c>
      <c r="D63" s="8" t="s">
        <v>152</v>
      </c>
      <c r="E63" s="8" t="s">
        <v>24</v>
      </c>
      <c r="F63" s="8" t="s">
        <v>153</v>
      </c>
      <c r="G63" s="8" t="s">
        <v>26</v>
      </c>
      <c r="H63" s="8" t="s">
        <v>27</v>
      </c>
      <c r="I63" s="8" t="s">
        <v>28</v>
      </c>
      <c r="J63" s="8" t="s">
        <v>40</v>
      </c>
      <c r="K63" s="8" t="s">
        <v>30</v>
      </c>
      <c r="L63" s="8" t="s">
        <v>40</v>
      </c>
      <c r="M63" s="8" t="s">
        <v>153</v>
      </c>
      <c r="N63" s="8" t="s">
        <v>31</v>
      </c>
      <c r="O63" s="1" t="str">
        <f>VLOOKUP(C63,[1]Sheet2!A:C,2,FALSE)</f>
        <v>取宝-物流服务</v>
      </c>
      <c r="P63" s="1" t="str">
        <f>VLOOKUP(C63,[1]Sheet2!G:H,2,FALSE)</f>
        <v>134****6101</v>
      </c>
      <c r="Q63" s="31" t="s">
        <v>32</v>
      </c>
    </row>
    <row r="64" s="1" customFormat="1" spans="1:17">
      <c r="A64" s="8" t="s">
        <v>157</v>
      </c>
      <c r="B64" s="8" t="s">
        <v>150</v>
      </c>
      <c r="C64" s="8" t="s">
        <v>156</v>
      </c>
      <c r="D64" s="8" t="s">
        <v>152</v>
      </c>
      <c r="E64" s="8" t="s">
        <v>24</v>
      </c>
      <c r="F64" s="8" t="s">
        <v>153</v>
      </c>
      <c r="G64" s="8" t="s">
        <v>34</v>
      </c>
      <c r="H64" s="8" t="s">
        <v>27</v>
      </c>
      <c r="I64" s="8" t="s">
        <v>28</v>
      </c>
      <c r="J64" s="8" t="s">
        <v>55</v>
      </c>
      <c r="K64" s="8" t="s">
        <v>30</v>
      </c>
      <c r="L64" s="8" t="s">
        <v>55</v>
      </c>
      <c r="M64" s="8" t="s">
        <v>153</v>
      </c>
      <c r="N64" s="8" t="s">
        <v>36</v>
      </c>
      <c r="O64" s="1" t="str">
        <f>VLOOKUP(C64,[1]Sheet2!A:C,2,FALSE)</f>
        <v>取宝-物流服务</v>
      </c>
      <c r="P64" s="1" t="str">
        <f>VLOOKUP(C64,[1]Sheet2!G:H,2,FALSE)</f>
        <v>134****6101</v>
      </c>
      <c r="Q64" s="31" t="s">
        <v>32</v>
      </c>
    </row>
    <row r="65" s="1" customFormat="1" spans="1:17">
      <c r="A65" s="8" t="s">
        <v>158</v>
      </c>
      <c r="B65" s="8" t="s">
        <v>150</v>
      </c>
      <c r="C65" s="8" t="s">
        <v>159</v>
      </c>
      <c r="D65" s="8" t="s">
        <v>152</v>
      </c>
      <c r="E65" s="8" t="s">
        <v>24</v>
      </c>
      <c r="F65" s="8" t="s">
        <v>153</v>
      </c>
      <c r="G65" s="8" t="s">
        <v>26</v>
      </c>
      <c r="H65" s="8" t="s">
        <v>27</v>
      </c>
      <c r="I65" s="8" t="s">
        <v>28</v>
      </c>
      <c r="J65" s="8" t="s">
        <v>40</v>
      </c>
      <c r="K65" s="8" t="s">
        <v>30</v>
      </c>
      <c r="L65" s="8" t="s">
        <v>40</v>
      </c>
      <c r="M65" s="8" t="s">
        <v>153</v>
      </c>
      <c r="N65" s="8" t="s">
        <v>31</v>
      </c>
      <c r="O65" s="1" t="str">
        <f>VLOOKUP(C65,[1]Sheet2!A:C,2,FALSE)</f>
        <v>取宝-物流服务</v>
      </c>
      <c r="P65" s="1" t="str">
        <f>VLOOKUP(C65,[1]Sheet2!G:H,2,FALSE)</f>
        <v>134****6101</v>
      </c>
      <c r="Q65" s="31" t="s">
        <v>32</v>
      </c>
    </row>
    <row r="66" s="1" customFormat="1" spans="1:17">
      <c r="A66" s="8" t="s">
        <v>160</v>
      </c>
      <c r="B66" s="8" t="s">
        <v>150</v>
      </c>
      <c r="C66" s="8" t="s">
        <v>159</v>
      </c>
      <c r="D66" s="8" t="s">
        <v>152</v>
      </c>
      <c r="E66" s="8" t="s">
        <v>24</v>
      </c>
      <c r="F66" s="8" t="s">
        <v>153</v>
      </c>
      <c r="G66" s="8" t="s">
        <v>34</v>
      </c>
      <c r="H66" s="8" t="s">
        <v>27</v>
      </c>
      <c r="I66" s="8" t="s">
        <v>28</v>
      </c>
      <c r="J66" s="8" t="s">
        <v>55</v>
      </c>
      <c r="K66" s="8" t="s">
        <v>30</v>
      </c>
      <c r="L66" s="8" t="s">
        <v>55</v>
      </c>
      <c r="M66" s="8" t="s">
        <v>153</v>
      </c>
      <c r="N66" s="8" t="s">
        <v>36</v>
      </c>
      <c r="O66" s="1" t="str">
        <f>VLOOKUP(C66,[1]Sheet2!A:C,2,FALSE)</f>
        <v>取宝-物流服务</v>
      </c>
      <c r="P66" s="1" t="str">
        <f>VLOOKUP(C66,[1]Sheet2!G:H,2,FALSE)</f>
        <v>134****6101</v>
      </c>
      <c r="Q66" s="31" t="s">
        <v>32</v>
      </c>
    </row>
    <row r="67" s="1" customFormat="1" spans="1:17">
      <c r="A67" s="8" t="s">
        <v>161</v>
      </c>
      <c r="B67" s="8" t="s">
        <v>150</v>
      </c>
      <c r="C67" s="8" t="s">
        <v>162</v>
      </c>
      <c r="D67" s="8" t="s">
        <v>152</v>
      </c>
      <c r="E67" s="8" t="s">
        <v>24</v>
      </c>
      <c r="F67" s="8" t="s">
        <v>153</v>
      </c>
      <c r="G67" s="8" t="s">
        <v>26</v>
      </c>
      <c r="H67" s="8" t="s">
        <v>27</v>
      </c>
      <c r="I67" s="8" t="s">
        <v>28</v>
      </c>
      <c r="J67" s="8" t="s">
        <v>40</v>
      </c>
      <c r="K67" s="8" t="s">
        <v>30</v>
      </c>
      <c r="L67" s="8" t="s">
        <v>40</v>
      </c>
      <c r="M67" s="8" t="s">
        <v>153</v>
      </c>
      <c r="N67" s="8" t="s">
        <v>31</v>
      </c>
      <c r="O67" s="1" t="str">
        <f>VLOOKUP(C67,[1]Sheet2!A:C,2,FALSE)</f>
        <v>立充充电宝取机柜-物流服务</v>
      </c>
      <c r="P67" s="1" t="str">
        <f>VLOOKUP(C67,[1]Sheet2!G:H,2,FALSE)</f>
        <v>134****6101</v>
      </c>
      <c r="Q67" s="31" t="s">
        <v>32</v>
      </c>
    </row>
    <row r="68" s="1" customFormat="1" spans="1:17">
      <c r="A68" s="8" t="s">
        <v>163</v>
      </c>
      <c r="B68" s="8" t="s">
        <v>150</v>
      </c>
      <c r="C68" s="8" t="s">
        <v>162</v>
      </c>
      <c r="D68" s="8" t="s">
        <v>152</v>
      </c>
      <c r="E68" s="8" t="s">
        <v>24</v>
      </c>
      <c r="F68" s="8" t="s">
        <v>153</v>
      </c>
      <c r="G68" s="8" t="s">
        <v>34</v>
      </c>
      <c r="H68" s="8" t="s">
        <v>27</v>
      </c>
      <c r="I68" s="8" t="s">
        <v>28</v>
      </c>
      <c r="J68" s="8" t="s">
        <v>55</v>
      </c>
      <c r="K68" s="8" t="s">
        <v>30</v>
      </c>
      <c r="L68" s="8" t="s">
        <v>55</v>
      </c>
      <c r="M68" s="8" t="s">
        <v>153</v>
      </c>
      <c r="N68" s="8" t="s">
        <v>36</v>
      </c>
      <c r="O68" s="1" t="str">
        <f>VLOOKUP(C68,[1]Sheet2!A:C,2,FALSE)</f>
        <v>立充充电宝取机柜-物流服务</v>
      </c>
      <c r="P68" s="1" t="str">
        <f>VLOOKUP(C68,[1]Sheet2!G:H,2,FALSE)</f>
        <v>134****6101</v>
      </c>
      <c r="Q68" s="31" t="s">
        <v>32</v>
      </c>
    </row>
    <row r="69" s="1" customFormat="1" spans="1:17">
      <c r="A69" s="8" t="s">
        <v>164</v>
      </c>
      <c r="B69" s="8" t="s">
        <v>150</v>
      </c>
      <c r="C69" s="8" t="s">
        <v>165</v>
      </c>
      <c r="D69" s="8" t="s">
        <v>152</v>
      </c>
      <c r="E69" s="8" t="s">
        <v>24</v>
      </c>
      <c r="F69" s="8" t="s">
        <v>153</v>
      </c>
      <c r="G69" s="8" t="s">
        <v>64</v>
      </c>
      <c r="H69" s="8" t="s">
        <v>27</v>
      </c>
      <c r="I69" s="8" t="s">
        <v>28</v>
      </c>
      <c r="J69" s="8" t="s">
        <v>166</v>
      </c>
      <c r="K69" s="8" t="s">
        <v>30</v>
      </c>
      <c r="L69" s="8" t="s">
        <v>166</v>
      </c>
      <c r="M69" s="8" t="s">
        <v>153</v>
      </c>
      <c r="N69" s="8" t="s">
        <v>31</v>
      </c>
      <c r="O69" s="1" t="str">
        <f>VLOOKUP(C69,[1]Sheet2!A:C,2,FALSE)</f>
        <v>立充充电宝取机柜-物流服务</v>
      </c>
      <c r="P69" s="1" t="str">
        <f>VLOOKUP(C69,[1]Sheet2!G:H,2,FALSE)</f>
        <v>134****6101</v>
      </c>
      <c r="Q69" s="31" t="s">
        <v>32</v>
      </c>
    </row>
    <row r="70" s="1" customFormat="1" spans="1:17">
      <c r="A70" s="8" t="s">
        <v>167</v>
      </c>
      <c r="B70" s="8" t="s">
        <v>150</v>
      </c>
      <c r="C70" s="8" t="s">
        <v>165</v>
      </c>
      <c r="D70" s="8" t="s">
        <v>152</v>
      </c>
      <c r="E70" s="8" t="s">
        <v>24</v>
      </c>
      <c r="F70" s="8" t="s">
        <v>153</v>
      </c>
      <c r="G70" s="8" t="s">
        <v>34</v>
      </c>
      <c r="H70" s="8" t="s">
        <v>27</v>
      </c>
      <c r="I70" s="8" t="s">
        <v>28</v>
      </c>
      <c r="J70" s="8" t="s">
        <v>97</v>
      </c>
      <c r="K70" s="8" t="s">
        <v>30</v>
      </c>
      <c r="L70" s="8" t="s">
        <v>97</v>
      </c>
      <c r="M70" s="8" t="s">
        <v>153</v>
      </c>
      <c r="N70" s="8" t="s">
        <v>36</v>
      </c>
      <c r="O70" s="1" t="str">
        <f>VLOOKUP(C70,[1]Sheet2!A:C,2,FALSE)</f>
        <v>立充充电宝取机柜-物流服务</v>
      </c>
      <c r="P70" s="1" t="str">
        <f>VLOOKUP(C70,[1]Sheet2!G:H,2,FALSE)</f>
        <v>134****6101</v>
      </c>
      <c r="Q70" s="31" t="s">
        <v>32</v>
      </c>
    </row>
    <row r="71" s="1" customFormat="1" spans="1:17">
      <c r="A71" s="8" t="s">
        <v>168</v>
      </c>
      <c r="B71" s="8" t="s">
        <v>150</v>
      </c>
      <c r="C71" s="8" t="s">
        <v>169</v>
      </c>
      <c r="D71" s="8" t="s">
        <v>152</v>
      </c>
      <c r="E71" s="8" t="s">
        <v>24</v>
      </c>
      <c r="F71" s="8" t="s">
        <v>153</v>
      </c>
      <c r="G71" s="8" t="s">
        <v>26</v>
      </c>
      <c r="H71" s="8" t="s">
        <v>27</v>
      </c>
      <c r="I71" s="8" t="s">
        <v>28</v>
      </c>
      <c r="J71" s="8" t="s">
        <v>40</v>
      </c>
      <c r="K71" s="8" t="s">
        <v>30</v>
      </c>
      <c r="L71" s="8" t="s">
        <v>40</v>
      </c>
      <c r="M71" s="8" t="s">
        <v>153</v>
      </c>
      <c r="N71" s="8" t="s">
        <v>31</v>
      </c>
      <c r="O71" s="1" t="str">
        <f>VLOOKUP(C71,[1]Sheet2!A:C,2,FALSE)</f>
        <v>立充充电宝取机柜-物流服务</v>
      </c>
      <c r="P71" s="1" t="str">
        <f>VLOOKUP(C71,[1]Sheet2!G:H,2,FALSE)</f>
        <v>134****6101</v>
      </c>
      <c r="Q71" s="31" t="s">
        <v>32</v>
      </c>
    </row>
    <row r="72" s="1" customFormat="1" spans="1:17">
      <c r="A72" s="8" t="s">
        <v>170</v>
      </c>
      <c r="B72" s="8" t="s">
        <v>150</v>
      </c>
      <c r="C72" s="8" t="s">
        <v>169</v>
      </c>
      <c r="D72" s="8" t="s">
        <v>152</v>
      </c>
      <c r="E72" s="8" t="s">
        <v>24</v>
      </c>
      <c r="F72" s="8" t="s">
        <v>153</v>
      </c>
      <c r="G72" s="8" t="s">
        <v>34</v>
      </c>
      <c r="H72" s="8" t="s">
        <v>27</v>
      </c>
      <c r="I72" s="8" t="s">
        <v>28</v>
      </c>
      <c r="J72" s="8" t="s">
        <v>35</v>
      </c>
      <c r="K72" s="8" t="s">
        <v>30</v>
      </c>
      <c r="L72" s="8" t="s">
        <v>35</v>
      </c>
      <c r="M72" s="8" t="s">
        <v>153</v>
      </c>
      <c r="N72" s="8" t="s">
        <v>36</v>
      </c>
      <c r="O72" s="1" t="str">
        <f>VLOOKUP(C72,[1]Sheet2!A:C,2,FALSE)</f>
        <v>立充充电宝取机柜-物流服务</v>
      </c>
      <c r="P72" s="1" t="str">
        <f>VLOOKUP(C72,[1]Sheet2!G:H,2,FALSE)</f>
        <v>134****6101</v>
      </c>
      <c r="Q72" s="31" t="s">
        <v>32</v>
      </c>
    </row>
    <row r="73" s="1" customFormat="1" spans="1:17">
      <c r="A73" s="8" t="s">
        <v>171</v>
      </c>
      <c r="B73" s="8" t="s">
        <v>150</v>
      </c>
      <c r="C73" s="8" t="s">
        <v>172</v>
      </c>
      <c r="D73" s="8" t="s">
        <v>76</v>
      </c>
      <c r="E73" s="8" t="s">
        <v>45</v>
      </c>
      <c r="F73" s="8" t="s">
        <v>89</v>
      </c>
      <c r="G73" s="8" t="s">
        <v>26</v>
      </c>
      <c r="H73" s="8" t="s">
        <v>27</v>
      </c>
      <c r="I73" s="8" t="s">
        <v>28</v>
      </c>
      <c r="J73" s="8" t="s">
        <v>29</v>
      </c>
      <c r="K73" s="8" t="s">
        <v>30</v>
      </c>
      <c r="L73" s="8" t="s">
        <v>29</v>
      </c>
      <c r="M73" s="8" t="s">
        <v>90</v>
      </c>
      <c r="N73" s="8" t="s">
        <v>31</v>
      </c>
      <c r="O73" s="1" t="str">
        <f>VLOOKUP(C73,[1]Sheet2!A:C,2,FALSE)</f>
        <v>立充充电宝取机柜-仅服务</v>
      </c>
      <c r="P73" s="1" t="str">
        <f>VLOOKUP(C73,[1]Sheet2!G:H,2,FALSE)</f>
        <v>130****4667</v>
      </c>
      <c r="Q73" s="31" t="s">
        <v>77</v>
      </c>
    </row>
    <row r="74" s="1" customFormat="1" spans="1:17">
      <c r="A74" s="8" t="s">
        <v>173</v>
      </c>
      <c r="B74" s="8" t="s">
        <v>150</v>
      </c>
      <c r="C74" s="8" t="s">
        <v>172</v>
      </c>
      <c r="D74" s="8" t="s">
        <v>76</v>
      </c>
      <c r="E74" s="8" t="s">
        <v>45</v>
      </c>
      <c r="F74" s="8" t="s">
        <v>89</v>
      </c>
      <c r="G74" s="8" t="s">
        <v>34</v>
      </c>
      <c r="H74" s="8" t="s">
        <v>27</v>
      </c>
      <c r="I74" s="8" t="s">
        <v>28</v>
      </c>
      <c r="J74" s="8" t="s">
        <v>55</v>
      </c>
      <c r="K74" s="8" t="s">
        <v>30</v>
      </c>
      <c r="L74" s="8" t="s">
        <v>55</v>
      </c>
      <c r="M74" s="8" t="s">
        <v>90</v>
      </c>
      <c r="N74" s="8" t="s">
        <v>36</v>
      </c>
      <c r="O74" s="1" t="str">
        <f>VLOOKUP(C74,[1]Sheet2!A:C,2,FALSE)</f>
        <v>立充充电宝取机柜-仅服务</v>
      </c>
      <c r="P74" s="1" t="str">
        <f>VLOOKUP(C74,[1]Sheet2!G:H,2,FALSE)</f>
        <v>130****4667</v>
      </c>
      <c r="Q74" s="31" t="s">
        <v>77</v>
      </c>
    </row>
    <row r="75" s="1" customFormat="1" spans="1:17">
      <c r="A75" s="8" t="s">
        <v>174</v>
      </c>
      <c r="B75" s="8" t="s">
        <v>150</v>
      </c>
      <c r="C75" s="8" t="s">
        <v>175</v>
      </c>
      <c r="D75" s="8" t="s">
        <v>24</v>
      </c>
      <c r="E75" s="8" t="s">
        <v>24</v>
      </c>
      <c r="F75" s="8" t="s">
        <v>176</v>
      </c>
      <c r="G75" s="8" t="s">
        <v>26</v>
      </c>
      <c r="H75" s="8" t="s">
        <v>27</v>
      </c>
      <c r="I75" s="8" t="s">
        <v>28</v>
      </c>
      <c r="J75" s="8" t="s">
        <v>47</v>
      </c>
      <c r="K75" s="8" t="s">
        <v>30</v>
      </c>
      <c r="L75" s="8" t="s">
        <v>47</v>
      </c>
      <c r="M75" s="8" t="s">
        <v>177</v>
      </c>
      <c r="N75" s="8" t="s">
        <v>31</v>
      </c>
      <c r="O75" s="1" t="str">
        <f>VLOOKUP(C75,[1]Sheet2!A:C,2,FALSE)</f>
        <v>取宝-物流服务</v>
      </c>
      <c r="P75" s="1" t="str">
        <f>VLOOKUP(C75,[1]Sheet2!G:H,2,FALSE)</f>
        <v>134****6101</v>
      </c>
      <c r="Q75" s="31" t="s">
        <v>32</v>
      </c>
    </row>
    <row r="76" s="1" customFormat="1" spans="1:17">
      <c r="A76" s="8" t="s">
        <v>178</v>
      </c>
      <c r="B76" s="8" t="s">
        <v>150</v>
      </c>
      <c r="C76" s="8" t="s">
        <v>179</v>
      </c>
      <c r="D76" s="8" t="s">
        <v>152</v>
      </c>
      <c r="E76" s="8" t="s">
        <v>24</v>
      </c>
      <c r="F76" s="8" t="s">
        <v>153</v>
      </c>
      <c r="G76" s="8" t="s">
        <v>26</v>
      </c>
      <c r="H76" s="8" t="s">
        <v>27</v>
      </c>
      <c r="I76" s="8" t="s">
        <v>28</v>
      </c>
      <c r="J76" s="8" t="s">
        <v>40</v>
      </c>
      <c r="K76" s="8" t="s">
        <v>30</v>
      </c>
      <c r="L76" s="8" t="s">
        <v>40</v>
      </c>
      <c r="M76" s="8" t="s">
        <v>153</v>
      </c>
      <c r="N76" s="8" t="s">
        <v>31</v>
      </c>
      <c r="O76" s="1" t="str">
        <f>VLOOKUP(C76,[1]Sheet2!A:C,2,FALSE)</f>
        <v>取宝-物流服务</v>
      </c>
      <c r="P76" s="1" t="str">
        <f>VLOOKUP(C76,[1]Sheet2!G:H,2,FALSE)</f>
        <v>134****6101</v>
      </c>
      <c r="Q76" s="31" t="s">
        <v>32</v>
      </c>
    </row>
    <row r="77" s="1" customFormat="1" spans="1:17">
      <c r="A77" s="8" t="s">
        <v>180</v>
      </c>
      <c r="B77" s="8" t="s">
        <v>150</v>
      </c>
      <c r="C77" s="8" t="s">
        <v>179</v>
      </c>
      <c r="D77" s="8" t="s">
        <v>152</v>
      </c>
      <c r="E77" s="8" t="s">
        <v>24</v>
      </c>
      <c r="F77" s="8" t="s">
        <v>153</v>
      </c>
      <c r="G77" s="8" t="s">
        <v>34</v>
      </c>
      <c r="H77" s="8" t="s">
        <v>27</v>
      </c>
      <c r="I77" s="8" t="s">
        <v>28</v>
      </c>
      <c r="J77" s="8" t="s">
        <v>35</v>
      </c>
      <c r="K77" s="8" t="s">
        <v>30</v>
      </c>
      <c r="L77" s="8" t="s">
        <v>35</v>
      </c>
      <c r="M77" s="8" t="s">
        <v>153</v>
      </c>
      <c r="N77" s="8" t="s">
        <v>36</v>
      </c>
      <c r="O77" s="1" t="str">
        <f>VLOOKUP(C77,[1]Sheet2!A:C,2,FALSE)</f>
        <v>取宝-物流服务</v>
      </c>
      <c r="P77" s="1" t="str">
        <f>VLOOKUP(C77,[1]Sheet2!G:H,2,FALSE)</f>
        <v>134****6101</v>
      </c>
      <c r="Q77" s="31" t="s">
        <v>32</v>
      </c>
    </row>
    <row r="78" s="1" customFormat="1" spans="1:17">
      <c r="A78" s="8" t="s">
        <v>181</v>
      </c>
      <c r="B78" s="8" t="s">
        <v>150</v>
      </c>
      <c r="C78" s="8" t="s">
        <v>182</v>
      </c>
      <c r="D78" s="8" t="s">
        <v>152</v>
      </c>
      <c r="E78" s="8" t="s">
        <v>24</v>
      </c>
      <c r="F78" s="8" t="s">
        <v>153</v>
      </c>
      <c r="G78" s="8" t="s">
        <v>26</v>
      </c>
      <c r="H78" s="8" t="s">
        <v>27</v>
      </c>
      <c r="I78" s="8" t="s">
        <v>28</v>
      </c>
      <c r="J78" s="8" t="s">
        <v>40</v>
      </c>
      <c r="K78" s="8" t="s">
        <v>30</v>
      </c>
      <c r="L78" s="8" t="s">
        <v>40</v>
      </c>
      <c r="M78" s="8" t="s">
        <v>153</v>
      </c>
      <c r="N78" s="8" t="s">
        <v>31</v>
      </c>
      <c r="O78" s="1" t="str">
        <f>VLOOKUP(C78,[1]Sheet2!A:C,2,FALSE)</f>
        <v>取宝-物流服务</v>
      </c>
      <c r="P78" s="1" t="str">
        <f>VLOOKUP(C78,[1]Sheet2!G:H,2,FALSE)</f>
        <v>134****6101</v>
      </c>
      <c r="Q78" s="31" t="s">
        <v>32</v>
      </c>
    </row>
    <row r="79" s="1" customFormat="1" spans="1:17">
      <c r="A79" s="8" t="s">
        <v>183</v>
      </c>
      <c r="B79" s="8" t="s">
        <v>150</v>
      </c>
      <c r="C79" s="8" t="s">
        <v>182</v>
      </c>
      <c r="D79" s="8" t="s">
        <v>152</v>
      </c>
      <c r="E79" s="8" t="s">
        <v>24</v>
      </c>
      <c r="F79" s="8" t="s">
        <v>153</v>
      </c>
      <c r="G79" s="8" t="s">
        <v>34</v>
      </c>
      <c r="H79" s="8" t="s">
        <v>27</v>
      </c>
      <c r="I79" s="8" t="s">
        <v>28</v>
      </c>
      <c r="J79" s="8" t="s">
        <v>35</v>
      </c>
      <c r="K79" s="8" t="s">
        <v>30</v>
      </c>
      <c r="L79" s="8" t="s">
        <v>35</v>
      </c>
      <c r="M79" s="8" t="s">
        <v>153</v>
      </c>
      <c r="N79" s="8" t="s">
        <v>36</v>
      </c>
      <c r="O79" s="1" t="str">
        <f>VLOOKUP(C79,[1]Sheet2!A:C,2,FALSE)</f>
        <v>取宝-物流服务</v>
      </c>
      <c r="P79" s="1" t="str">
        <f>VLOOKUP(C79,[1]Sheet2!G:H,2,FALSE)</f>
        <v>134****6101</v>
      </c>
      <c r="Q79" s="31" t="s">
        <v>32</v>
      </c>
    </row>
    <row r="80" s="1" customFormat="1" spans="1:17">
      <c r="A80" s="8" t="s">
        <v>184</v>
      </c>
      <c r="B80" s="8" t="s">
        <v>150</v>
      </c>
      <c r="C80" s="8" t="s">
        <v>185</v>
      </c>
      <c r="D80" s="8" t="s">
        <v>152</v>
      </c>
      <c r="E80" s="8" t="s">
        <v>24</v>
      </c>
      <c r="F80" s="8" t="s">
        <v>153</v>
      </c>
      <c r="G80" s="8" t="s">
        <v>186</v>
      </c>
      <c r="H80" s="8" t="s">
        <v>27</v>
      </c>
      <c r="I80" s="8" t="s">
        <v>28</v>
      </c>
      <c r="J80" s="8" t="s">
        <v>187</v>
      </c>
      <c r="K80" s="8" t="s">
        <v>30</v>
      </c>
      <c r="L80" s="8" t="s">
        <v>187</v>
      </c>
      <c r="M80" s="8" t="s">
        <v>153</v>
      </c>
      <c r="N80" s="8" t="s">
        <v>31</v>
      </c>
      <c r="O80" s="1" t="str">
        <f>VLOOKUP(C80,[1]Sheet2!A:C,2,FALSE)</f>
        <v>取宝-物流服务</v>
      </c>
      <c r="P80" s="1" t="str">
        <f>VLOOKUP(C80,[1]Sheet2!G:H,2,FALSE)</f>
        <v>134****6101</v>
      </c>
      <c r="Q80" s="31" t="s">
        <v>32</v>
      </c>
    </row>
    <row r="81" s="1" customFormat="1" spans="1:17">
      <c r="A81" s="8" t="s">
        <v>188</v>
      </c>
      <c r="B81" s="8" t="s">
        <v>150</v>
      </c>
      <c r="C81" s="8" t="s">
        <v>185</v>
      </c>
      <c r="D81" s="8" t="s">
        <v>152</v>
      </c>
      <c r="E81" s="8" t="s">
        <v>24</v>
      </c>
      <c r="F81" s="8" t="s">
        <v>153</v>
      </c>
      <c r="G81" s="8" t="s">
        <v>34</v>
      </c>
      <c r="H81" s="8" t="s">
        <v>27</v>
      </c>
      <c r="I81" s="8" t="s">
        <v>28</v>
      </c>
      <c r="J81" s="8" t="s">
        <v>189</v>
      </c>
      <c r="K81" s="8" t="s">
        <v>30</v>
      </c>
      <c r="L81" s="8" t="s">
        <v>189</v>
      </c>
      <c r="M81" s="8" t="s">
        <v>153</v>
      </c>
      <c r="N81" s="8" t="s">
        <v>36</v>
      </c>
      <c r="O81" s="1" t="str">
        <f>VLOOKUP(C81,[1]Sheet2!A:C,2,FALSE)</f>
        <v>取宝-物流服务</v>
      </c>
      <c r="P81" s="1" t="str">
        <f>VLOOKUP(C81,[1]Sheet2!G:H,2,FALSE)</f>
        <v>134****6101</v>
      </c>
      <c r="Q81" s="31" t="s">
        <v>32</v>
      </c>
    </row>
    <row r="82" s="1" customFormat="1" spans="1:17">
      <c r="A82" s="8" t="s">
        <v>190</v>
      </c>
      <c r="B82" s="8" t="s">
        <v>150</v>
      </c>
      <c r="C82" s="8" t="s">
        <v>191</v>
      </c>
      <c r="D82" s="8" t="s">
        <v>76</v>
      </c>
      <c r="E82" s="8" t="s">
        <v>45</v>
      </c>
      <c r="F82" s="8" t="s">
        <v>89</v>
      </c>
      <c r="G82" s="8" t="s">
        <v>186</v>
      </c>
      <c r="H82" s="8" t="s">
        <v>27</v>
      </c>
      <c r="I82" s="8" t="s">
        <v>28</v>
      </c>
      <c r="J82" s="8" t="s">
        <v>192</v>
      </c>
      <c r="K82" s="8" t="s">
        <v>30</v>
      </c>
      <c r="L82" s="8" t="s">
        <v>192</v>
      </c>
      <c r="M82" s="8" t="s">
        <v>90</v>
      </c>
      <c r="N82" s="8" t="s">
        <v>31</v>
      </c>
      <c r="O82" s="1" t="str">
        <f>VLOOKUP(C82,[1]Sheet2!A:C,2,FALSE)</f>
        <v>立充充电宝取机柜-仅服务</v>
      </c>
      <c r="P82" s="1" t="str">
        <f>VLOOKUP(C82,[1]Sheet2!G:H,2,FALSE)</f>
        <v>130****4667</v>
      </c>
      <c r="Q82" s="31" t="s">
        <v>77</v>
      </c>
    </row>
    <row r="83" s="1" customFormat="1" spans="1:17">
      <c r="A83" s="8" t="s">
        <v>193</v>
      </c>
      <c r="B83" s="8" t="s">
        <v>150</v>
      </c>
      <c r="C83" s="8" t="s">
        <v>191</v>
      </c>
      <c r="D83" s="8" t="s">
        <v>76</v>
      </c>
      <c r="E83" s="8" t="s">
        <v>45</v>
      </c>
      <c r="F83" s="8" t="s">
        <v>89</v>
      </c>
      <c r="G83" s="8" t="s">
        <v>34</v>
      </c>
      <c r="H83" s="8" t="s">
        <v>27</v>
      </c>
      <c r="I83" s="8" t="s">
        <v>28</v>
      </c>
      <c r="J83" s="8" t="s">
        <v>189</v>
      </c>
      <c r="K83" s="8" t="s">
        <v>30</v>
      </c>
      <c r="L83" s="8" t="s">
        <v>189</v>
      </c>
      <c r="M83" s="8" t="s">
        <v>90</v>
      </c>
      <c r="N83" s="8" t="s">
        <v>36</v>
      </c>
      <c r="O83" s="1" t="str">
        <f>VLOOKUP(C83,[1]Sheet2!A:C,2,FALSE)</f>
        <v>立充充电宝取机柜-仅服务</v>
      </c>
      <c r="P83" s="1" t="str">
        <f>VLOOKUP(C83,[1]Sheet2!G:H,2,FALSE)</f>
        <v>130****4667</v>
      </c>
      <c r="Q83" s="31" t="s">
        <v>77</v>
      </c>
    </row>
    <row r="84" s="1" customFormat="1" spans="1:17">
      <c r="A84" s="8" t="s">
        <v>194</v>
      </c>
      <c r="B84" s="8" t="s">
        <v>150</v>
      </c>
      <c r="C84" s="8" t="s">
        <v>195</v>
      </c>
      <c r="D84" s="8" t="s">
        <v>24</v>
      </c>
      <c r="E84" s="8" t="s">
        <v>24</v>
      </c>
      <c r="F84" s="8" t="s">
        <v>176</v>
      </c>
      <c r="G84" s="8" t="s">
        <v>26</v>
      </c>
      <c r="H84" s="8" t="s">
        <v>27</v>
      </c>
      <c r="I84" s="8" t="s">
        <v>28</v>
      </c>
      <c r="J84" s="8" t="s">
        <v>47</v>
      </c>
      <c r="K84" s="8" t="s">
        <v>30</v>
      </c>
      <c r="L84" s="8" t="s">
        <v>47</v>
      </c>
      <c r="M84" s="8" t="s">
        <v>177</v>
      </c>
      <c r="N84" s="8" t="s">
        <v>31</v>
      </c>
      <c r="O84" s="1" t="str">
        <f>VLOOKUP(C84,[1]Sheet2!A:C,2,FALSE)</f>
        <v>取宝-物流服务</v>
      </c>
      <c r="P84" s="1" t="str">
        <f>VLOOKUP(C84,[1]Sheet2!G:H,2,FALSE)</f>
        <v>134****6101</v>
      </c>
      <c r="Q84" s="31" t="s">
        <v>32</v>
      </c>
    </row>
    <row r="85" s="1" customFormat="1" spans="1:17">
      <c r="A85" s="8" t="s">
        <v>196</v>
      </c>
      <c r="B85" s="8" t="s">
        <v>150</v>
      </c>
      <c r="C85" s="8" t="s">
        <v>197</v>
      </c>
      <c r="D85" s="8" t="s">
        <v>24</v>
      </c>
      <c r="E85" s="8" t="s">
        <v>24</v>
      </c>
      <c r="F85" s="8" t="s">
        <v>176</v>
      </c>
      <c r="G85" s="8" t="s">
        <v>39</v>
      </c>
      <c r="H85" s="8" t="s">
        <v>27</v>
      </c>
      <c r="I85" s="8" t="s">
        <v>28</v>
      </c>
      <c r="J85" s="8" t="s">
        <v>118</v>
      </c>
      <c r="K85" s="8" t="s">
        <v>30</v>
      </c>
      <c r="L85" s="8" t="s">
        <v>118</v>
      </c>
      <c r="M85" s="8" t="s">
        <v>177</v>
      </c>
      <c r="N85" s="8" t="s">
        <v>31</v>
      </c>
      <c r="O85" s="1" t="str">
        <f>VLOOKUP(C85,[1]Sheet2!A:C,2,FALSE)</f>
        <v>取宝-物流服务</v>
      </c>
      <c r="P85" s="1" t="str">
        <f>VLOOKUP(C85,[1]Sheet2!G:H,2,FALSE)</f>
        <v>134****6101</v>
      </c>
      <c r="Q85" s="31" t="s">
        <v>32</v>
      </c>
    </row>
    <row r="86" s="1" customFormat="1" spans="1:17">
      <c r="A86" s="8" t="s">
        <v>198</v>
      </c>
      <c r="B86" s="8" t="s">
        <v>150</v>
      </c>
      <c r="C86" s="8" t="s">
        <v>199</v>
      </c>
      <c r="D86" s="8" t="s">
        <v>24</v>
      </c>
      <c r="E86" s="8" t="s">
        <v>24</v>
      </c>
      <c r="F86" s="8" t="s">
        <v>176</v>
      </c>
      <c r="G86" s="8" t="s">
        <v>200</v>
      </c>
      <c r="H86" s="8" t="s">
        <v>27</v>
      </c>
      <c r="I86" s="8" t="s">
        <v>28</v>
      </c>
      <c r="J86" s="8" t="s">
        <v>201</v>
      </c>
      <c r="K86" s="8" t="s">
        <v>30</v>
      </c>
      <c r="L86" s="8" t="s">
        <v>201</v>
      </c>
      <c r="M86" s="8" t="s">
        <v>177</v>
      </c>
      <c r="N86" s="8" t="s">
        <v>31</v>
      </c>
      <c r="O86" s="1" t="str">
        <f>VLOOKUP(C86,[1]Sheet2!A:C,2,FALSE)</f>
        <v>立充充电宝取机柜-物流服务</v>
      </c>
      <c r="P86" s="1" t="str">
        <f>VLOOKUP(C86,[1]Sheet2!G:H,2,FALSE)</f>
        <v>134****6101</v>
      </c>
      <c r="Q86" s="31" t="s">
        <v>32</v>
      </c>
    </row>
    <row r="87" s="1" customFormat="1" spans="1:17">
      <c r="A87" s="8" t="s">
        <v>202</v>
      </c>
      <c r="B87" s="8" t="s">
        <v>150</v>
      </c>
      <c r="C87" s="8" t="s">
        <v>203</v>
      </c>
      <c r="D87" s="8" t="s">
        <v>204</v>
      </c>
      <c r="E87" s="8" t="s">
        <v>205</v>
      </c>
      <c r="F87" s="8" t="s">
        <v>206</v>
      </c>
      <c r="G87" s="8" t="s">
        <v>207</v>
      </c>
      <c r="H87" s="8" t="s">
        <v>27</v>
      </c>
      <c r="I87" s="8" t="s">
        <v>28</v>
      </c>
      <c r="J87" s="8" t="s">
        <v>208</v>
      </c>
      <c r="K87" s="8" t="s">
        <v>30</v>
      </c>
      <c r="L87" s="8" t="s">
        <v>208</v>
      </c>
      <c r="M87" s="8" t="s">
        <v>209</v>
      </c>
      <c r="N87" s="8" t="s">
        <v>31</v>
      </c>
      <c r="O87" s="1" t="str">
        <f>VLOOKUP(C87,[1]Sheet2!A:C,2,FALSE)</f>
        <v>立充充电宝取机柜-物流服务</v>
      </c>
      <c r="P87" s="1" t="str">
        <f>VLOOKUP(C87,[1]Sheet2!G:H,2,FALSE)</f>
        <v>131****2614</v>
      </c>
      <c r="Q87" s="31" t="s">
        <v>210</v>
      </c>
    </row>
    <row r="88" s="1" customFormat="1" spans="1:17">
      <c r="A88" s="8" t="s">
        <v>211</v>
      </c>
      <c r="B88" s="8" t="s">
        <v>150</v>
      </c>
      <c r="C88" s="8" t="s">
        <v>203</v>
      </c>
      <c r="D88" s="8" t="s">
        <v>204</v>
      </c>
      <c r="E88" s="8" t="s">
        <v>205</v>
      </c>
      <c r="F88" s="8" t="s">
        <v>206</v>
      </c>
      <c r="G88" s="8" t="s">
        <v>34</v>
      </c>
      <c r="H88" s="8" t="s">
        <v>27</v>
      </c>
      <c r="I88" s="8" t="s">
        <v>28</v>
      </c>
      <c r="J88" s="8" t="s">
        <v>42</v>
      </c>
      <c r="K88" s="8" t="s">
        <v>30</v>
      </c>
      <c r="L88" s="8" t="s">
        <v>42</v>
      </c>
      <c r="M88" s="8" t="s">
        <v>209</v>
      </c>
      <c r="N88" s="8" t="s">
        <v>36</v>
      </c>
      <c r="O88" s="1" t="str">
        <f>VLOOKUP(C88,[1]Sheet2!A:C,2,FALSE)</f>
        <v>立充充电宝取机柜-物流服务</v>
      </c>
      <c r="P88" s="1" t="str">
        <f>VLOOKUP(C88,[1]Sheet2!G:H,2,FALSE)</f>
        <v>131****2614</v>
      </c>
      <c r="Q88" s="31" t="s">
        <v>210</v>
      </c>
    </row>
    <row r="89" s="1" customFormat="1" spans="1:17">
      <c r="A89" s="8" t="s">
        <v>212</v>
      </c>
      <c r="B89" s="8" t="s">
        <v>150</v>
      </c>
      <c r="C89" s="8" t="s">
        <v>213</v>
      </c>
      <c r="D89" s="8" t="s">
        <v>152</v>
      </c>
      <c r="E89" s="8" t="s">
        <v>24</v>
      </c>
      <c r="F89" s="8" t="s">
        <v>153</v>
      </c>
      <c r="G89" s="8" t="s">
        <v>26</v>
      </c>
      <c r="H89" s="8" t="s">
        <v>27</v>
      </c>
      <c r="I89" s="8" t="s">
        <v>28</v>
      </c>
      <c r="J89" s="8" t="s">
        <v>40</v>
      </c>
      <c r="K89" s="8" t="s">
        <v>30</v>
      </c>
      <c r="L89" s="8" t="s">
        <v>40</v>
      </c>
      <c r="M89" s="8" t="s">
        <v>153</v>
      </c>
      <c r="N89" s="8" t="s">
        <v>31</v>
      </c>
      <c r="O89" s="1" t="str">
        <f>VLOOKUP(C89,[1]Sheet2!A:C,2,FALSE)</f>
        <v>取宝-物流服务</v>
      </c>
      <c r="P89" s="1" t="str">
        <f>VLOOKUP(C89,[1]Sheet2!G:H,2,FALSE)</f>
        <v>134****6101</v>
      </c>
      <c r="Q89" s="31" t="s">
        <v>32</v>
      </c>
    </row>
    <row r="90" s="1" customFormat="1" spans="1:17">
      <c r="A90" s="8" t="s">
        <v>214</v>
      </c>
      <c r="B90" s="8" t="s">
        <v>150</v>
      </c>
      <c r="C90" s="8" t="s">
        <v>213</v>
      </c>
      <c r="D90" s="8" t="s">
        <v>152</v>
      </c>
      <c r="E90" s="8" t="s">
        <v>24</v>
      </c>
      <c r="F90" s="8" t="s">
        <v>153</v>
      </c>
      <c r="G90" s="8" t="s">
        <v>34</v>
      </c>
      <c r="H90" s="8" t="s">
        <v>27</v>
      </c>
      <c r="I90" s="8" t="s">
        <v>28</v>
      </c>
      <c r="J90" s="8" t="s">
        <v>55</v>
      </c>
      <c r="K90" s="8" t="s">
        <v>30</v>
      </c>
      <c r="L90" s="8" t="s">
        <v>55</v>
      </c>
      <c r="M90" s="8" t="s">
        <v>153</v>
      </c>
      <c r="N90" s="8" t="s">
        <v>36</v>
      </c>
      <c r="O90" s="1" t="str">
        <f>VLOOKUP(C90,[1]Sheet2!A:C,2,FALSE)</f>
        <v>取宝-物流服务</v>
      </c>
      <c r="P90" s="1" t="str">
        <f>VLOOKUP(C90,[1]Sheet2!G:H,2,FALSE)</f>
        <v>134****6101</v>
      </c>
      <c r="Q90" s="31" t="s">
        <v>32</v>
      </c>
    </row>
    <row r="91" s="1" customFormat="1" spans="1:17">
      <c r="A91" s="8" t="s">
        <v>215</v>
      </c>
      <c r="B91" s="8" t="s">
        <v>150</v>
      </c>
      <c r="C91" s="8" t="s">
        <v>216</v>
      </c>
      <c r="D91" s="8" t="s">
        <v>152</v>
      </c>
      <c r="E91" s="8" t="s">
        <v>24</v>
      </c>
      <c r="F91" s="8" t="s">
        <v>153</v>
      </c>
      <c r="G91" s="8" t="s">
        <v>64</v>
      </c>
      <c r="H91" s="8" t="s">
        <v>27</v>
      </c>
      <c r="I91" s="8" t="s">
        <v>28</v>
      </c>
      <c r="J91" s="8" t="s">
        <v>166</v>
      </c>
      <c r="K91" s="8" t="s">
        <v>30</v>
      </c>
      <c r="L91" s="8" t="s">
        <v>166</v>
      </c>
      <c r="M91" s="8" t="s">
        <v>153</v>
      </c>
      <c r="N91" s="8" t="s">
        <v>31</v>
      </c>
      <c r="O91" s="1" t="str">
        <f>VLOOKUP(C91,[1]Sheet2!A:C,2,FALSE)</f>
        <v>取宝-物流服务</v>
      </c>
      <c r="P91" s="1" t="str">
        <f>VLOOKUP(C91,[1]Sheet2!G:H,2,FALSE)</f>
        <v>134****6101</v>
      </c>
      <c r="Q91" s="31" t="s">
        <v>32</v>
      </c>
    </row>
    <row r="92" s="1" customFormat="1" spans="1:17">
      <c r="A92" s="8" t="s">
        <v>217</v>
      </c>
      <c r="B92" s="8" t="s">
        <v>150</v>
      </c>
      <c r="C92" s="8" t="s">
        <v>216</v>
      </c>
      <c r="D92" s="8" t="s">
        <v>152</v>
      </c>
      <c r="E92" s="8" t="s">
        <v>24</v>
      </c>
      <c r="F92" s="8" t="s">
        <v>153</v>
      </c>
      <c r="G92" s="8" t="s">
        <v>34</v>
      </c>
      <c r="H92" s="8" t="s">
        <v>27</v>
      </c>
      <c r="I92" s="8" t="s">
        <v>28</v>
      </c>
      <c r="J92" s="8" t="s">
        <v>97</v>
      </c>
      <c r="K92" s="8" t="s">
        <v>30</v>
      </c>
      <c r="L92" s="8" t="s">
        <v>97</v>
      </c>
      <c r="M92" s="8" t="s">
        <v>153</v>
      </c>
      <c r="N92" s="8" t="s">
        <v>36</v>
      </c>
      <c r="O92" s="1" t="str">
        <f>VLOOKUP(C92,[1]Sheet2!A:C,2,FALSE)</f>
        <v>取宝-物流服务</v>
      </c>
      <c r="P92" s="1" t="str">
        <f>VLOOKUP(C92,[1]Sheet2!G:H,2,FALSE)</f>
        <v>134****6101</v>
      </c>
      <c r="Q92" s="31" t="s">
        <v>32</v>
      </c>
    </row>
    <row r="93" s="1" customFormat="1" spans="1:17">
      <c r="A93" s="8" t="s">
        <v>218</v>
      </c>
      <c r="B93" s="8" t="s">
        <v>150</v>
      </c>
      <c r="C93" s="8" t="s">
        <v>136</v>
      </c>
      <c r="D93" s="8" t="s">
        <v>45</v>
      </c>
      <c r="E93" s="8" t="s">
        <v>137</v>
      </c>
      <c r="F93" s="8" t="s">
        <v>138</v>
      </c>
      <c r="G93" s="8" t="s">
        <v>34</v>
      </c>
      <c r="H93" s="8" t="s">
        <v>27</v>
      </c>
      <c r="I93" s="8" t="s">
        <v>69</v>
      </c>
      <c r="J93" s="8" t="s">
        <v>70</v>
      </c>
      <c r="K93" s="8" t="s">
        <v>30</v>
      </c>
      <c r="L93" s="8" t="s">
        <v>70</v>
      </c>
      <c r="M93" s="8" t="s">
        <v>46</v>
      </c>
      <c r="N93" s="8" t="s">
        <v>219</v>
      </c>
      <c r="O93" s="1" t="str">
        <f>VLOOKUP(C93,[1]Sheet2!A:C,2,FALSE)</f>
        <v>补宝-物流服务</v>
      </c>
      <c r="P93" s="1" t="str">
        <f>VLOOKUP(C93,[1]Sheet2!G:H,2,FALSE)</f>
        <v>186****6788</v>
      </c>
      <c r="Q93" s="12" t="s">
        <v>48</v>
      </c>
    </row>
    <row r="94" s="1" customFormat="1" spans="1:17">
      <c r="A94" s="8" t="s">
        <v>220</v>
      </c>
      <c r="B94" s="8" t="s">
        <v>221</v>
      </c>
      <c r="C94" s="8" t="s">
        <v>151</v>
      </c>
      <c r="D94" s="8" t="s">
        <v>152</v>
      </c>
      <c r="E94" s="8" t="s">
        <v>24</v>
      </c>
      <c r="F94" s="8" t="s">
        <v>153</v>
      </c>
      <c r="G94" s="8" t="s">
        <v>34</v>
      </c>
      <c r="H94" s="8" t="s">
        <v>27</v>
      </c>
      <c r="I94" s="8" t="s">
        <v>69</v>
      </c>
      <c r="J94" s="8" t="s">
        <v>70</v>
      </c>
      <c r="K94" s="8" t="s">
        <v>30</v>
      </c>
      <c r="L94" s="8" t="s">
        <v>70</v>
      </c>
      <c r="M94" s="8" t="s">
        <v>153</v>
      </c>
      <c r="N94" s="8" t="s">
        <v>71</v>
      </c>
      <c r="O94" s="1" t="str">
        <f>VLOOKUP(C94,[1]Sheet2!A:C,2,FALSE)</f>
        <v>取宝-物流服务</v>
      </c>
      <c r="P94" s="1" t="str">
        <f>VLOOKUP(C94,[1]Sheet2!G:H,2,FALSE)</f>
        <v>134****6101</v>
      </c>
      <c r="Q94" s="31" t="s">
        <v>32</v>
      </c>
    </row>
    <row r="95" s="1" customFormat="1" spans="1:17">
      <c r="A95" s="8" t="s">
        <v>222</v>
      </c>
      <c r="B95" s="8" t="s">
        <v>221</v>
      </c>
      <c r="C95" s="8" t="s">
        <v>156</v>
      </c>
      <c r="D95" s="8" t="s">
        <v>152</v>
      </c>
      <c r="E95" s="8" t="s">
        <v>24</v>
      </c>
      <c r="F95" s="8" t="s">
        <v>153</v>
      </c>
      <c r="G95" s="8" t="s">
        <v>34</v>
      </c>
      <c r="H95" s="8" t="s">
        <v>27</v>
      </c>
      <c r="I95" s="8" t="s">
        <v>69</v>
      </c>
      <c r="J95" s="8" t="s">
        <v>70</v>
      </c>
      <c r="K95" s="8" t="s">
        <v>30</v>
      </c>
      <c r="L95" s="8" t="s">
        <v>70</v>
      </c>
      <c r="M95" s="8" t="s">
        <v>153</v>
      </c>
      <c r="N95" s="8" t="s">
        <v>71</v>
      </c>
      <c r="O95" s="1" t="str">
        <f>VLOOKUP(C95,[1]Sheet2!A:C,2,FALSE)</f>
        <v>取宝-物流服务</v>
      </c>
      <c r="P95" s="1" t="str">
        <f>VLOOKUP(C95,[1]Sheet2!G:H,2,FALSE)</f>
        <v>134****6101</v>
      </c>
      <c r="Q95" s="31" t="s">
        <v>32</v>
      </c>
    </row>
    <row r="96" s="1" customFormat="1" spans="1:17">
      <c r="A96" s="8" t="s">
        <v>223</v>
      </c>
      <c r="B96" s="8" t="s">
        <v>221</v>
      </c>
      <c r="C96" s="8" t="s">
        <v>159</v>
      </c>
      <c r="D96" s="8" t="s">
        <v>152</v>
      </c>
      <c r="E96" s="8" t="s">
        <v>24</v>
      </c>
      <c r="F96" s="8" t="s">
        <v>153</v>
      </c>
      <c r="G96" s="8" t="s">
        <v>34</v>
      </c>
      <c r="H96" s="8" t="s">
        <v>27</v>
      </c>
      <c r="I96" s="8" t="s">
        <v>69</v>
      </c>
      <c r="J96" s="8" t="s">
        <v>70</v>
      </c>
      <c r="K96" s="8" t="s">
        <v>30</v>
      </c>
      <c r="L96" s="8" t="s">
        <v>70</v>
      </c>
      <c r="M96" s="8" t="s">
        <v>153</v>
      </c>
      <c r="N96" s="8" t="s">
        <v>71</v>
      </c>
      <c r="O96" s="1" t="str">
        <f>VLOOKUP(C96,[1]Sheet2!A:C,2,FALSE)</f>
        <v>取宝-物流服务</v>
      </c>
      <c r="P96" s="1" t="str">
        <f>VLOOKUP(C96,[1]Sheet2!G:H,2,FALSE)</f>
        <v>134****6101</v>
      </c>
      <c r="Q96" s="31" t="s">
        <v>32</v>
      </c>
    </row>
    <row r="97" s="1" customFormat="1" spans="1:17">
      <c r="A97" s="8" t="s">
        <v>224</v>
      </c>
      <c r="B97" s="8" t="s">
        <v>221</v>
      </c>
      <c r="C97" s="8" t="s">
        <v>162</v>
      </c>
      <c r="D97" s="8" t="s">
        <v>152</v>
      </c>
      <c r="E97" s="8" t="s">
        <v>24</v>
      </c>
      <c r="F97" s="8" t="s">
        <v>153</v>
      </c>
      <c r="G97" s="8" t="s">
        <v>34</v>
      </c>
      <c r="H97" s="8" t="s">
        <v>27</v>
      </c>
      <c r="I97" s="8" t="s">
        <v>69</v>
      </c>
      <c r="J97" s="8" t="s">
        <v>84</v>
      </c>
      <c r="K97" s="8" t="s">
        <v>30</v>
      </c>
      <c r="L97" s="8" t="s">
        <v>84</v>
      </c>
      <c r="M97" s="8" t="s">
        <v>153</v>
      </c>
      <c r="N97" s="8" t="s">
        <v>71</v>
      </c>
      <c r="O97" s="1" t="str">
        <f>VLOOKUP(C97,[1]Sheet2!A:C,2,FALSE)</f>
        <v>立充充电宝取机柜-物流服务</v>
      </c>
      <c r="P97" s="1" t="str">
        <f>VLOOKUP(C97,[1]Sheet2!G:H,2,FALSE)</f>
        <v>134****6101</v>
      </c>
      <c r="Q97" s="31" t="s">
        <v>32</v>
      </c>
    </row>
    <row r="98" s="1" customFormat="1" spans="1:17">
      <c r="A98" s="8" t="s">
        <v>225</v>
      </c>
      <c r="B98" s="8" t="s">
        <v>221</v>
      </c>
      <c r="C98" s="8" t="s">
        <v>165</v>
      </c>
      <c r="D98" s="8" t="s">
        <v>152</v>
      </c>
      <c r="E98" s="8" t="s">
        <v>24</v>
      </c>
      <c r="F98" s="8" t="s">
        <v>153</v>
      </c>
      <c r="G98" s="8" t="s">
        <v>34</v>
      </c>
      <c r="H98" s="8" t="s">
        <v>27</v>
      </c>
      <c r="I98" s="8" t="s">
        <v>69</v>
      </c>
      <c r="J98" s="8" t="s">
        <v>84</v>
      </c>
      <c r="K98" s="8" t="s">
        <v>30</v>
      </c>
      <c r="L98" s="8" t="s">
        <v>84</v>
      </c>
      <c r="M98" s="8" t="s">
        <v>153</v>
      </c>
      <c r="N98" s="8" t="s">
        <v>71</v>
      </c>
      <c r="O98" s="1" t="str">
        <f>VLOOKUP(C98,[1]Sheet2!A:C,2,FALSE)</f>
        <v>立充充电宝取机柜-物流服务</v>
      </c>
      <c r="P98" s="1" t="str">
        <f>VLOOKUP(C98,[1]Sheet2!G:H,2,FALSE)</f>
        <v>134****6101</v>
      </c>
      <c r="Q98" s="31" t="s">
        <v>32</v>
      </c>
    </row>
    <row r="99" s="1" customFormat="1" spans="1:17">
      <c r="A99" s="8" t="s">
        <v>226</v>
      </c>
      <c r="B99" s="8" t="s">
        <v>221</v>
      </c>
      <c r="C99" s="8" t="s">
        <v>169</v>
      </c>
      <c r="D99" s="8" t="s">
        <v>152</v>
      </c>
      <c r="E99" s="8" t="s">
        <v>24</v>
      </c>
      <c r="F99" s="8" t="s">
        <v>153</v>
      </c>
      <c r="G99" s="8" t="s">
        <v>34</v>
      </c>
      <c r="H99" s="8" t="s">
        <v>27</v>
      </c>
      <c r="I99" s="8" t="s">
        <v>69</v>
      </c>
      <c r="J99" s="8" t="s">
        <v>84</v>
      </c>
      <c r="K99" s="8" t="s">
        <v>30</v>
      </c>
      <c r="L99" s="8" t="s">
        <v>84</v>
      </c>
      <c r="M99" s="8" t="s">
        <v>153</v>
      </c>
      <c r="N99" s="8" t="s">
        <v>71</v>
      </c>
      <c r="O99" s="1" t="str">
        <f>VLOOKUP(C99,[1]Sheet2!A:C,2,FALSE)</f>
        <v>立充充电宝取机柜-物流服务</v>
      </c>
      <c r="P99" s="1" t="str">
        <f>VLOOKUP(C99,[1]Sheet2!G:H,2,FALSE)</f>
        <v>134****6101</v>
      </c>
      <c r="Q99" s="31" t="s">
        <v>32</v>
      </c>
    </row>
    <row r="100" s="1" customFormat="1" spans="1:17">
      <c r="A100" s="8" t="s">
        <v>227</v>
      </c>
      <c r="B100" s="8" t="s">
        <v>221</v>
      </c>
      <c r="C100" s="8" t="s">
        <v>228</v>
      </c>
      <c r="D100" s="8" t="s">
        <v>45</v>
      </c>
      <c r="E100" s="8" t="s">
        <v>45</v>
      </c>
      <c r="F100" s="8" t="s">
        <v>46</v>
      </c>
      <c r="G100" s="8" t="s">
        <v>26</v>
      </c>
      <c r="H100" s="8" t="s">
        <v>27</v>
      </c>
      <c r="I100" s="8" t="s">
        <v>28</v>
      </c>
      <c r="J100" s="8" t="s">
        <v>47</v>
      </c>
      <c r="K100" s="8" t="s">
        <v>30</v>
      </c>
      <c r="L100" s="8" t="s">
        <v>47</v>
      </c>
      <c r="M100" s="8" t="s">
        <v>46</v>
      </c>
      <c r="N100" s="8" t="s">
        <v>31</v>
      </c>
      <c r="O100" s="1" t="str">
        <f>VLOOKUP(C100,[1]Sheet2!A:C,2,FALSE)</f>
        <v>取宝-物流服务</v>
      </c>
      <c r="P100" s="1" t="str">
        <f>VLOOKUP(C100,[1]Sheet2!G:H,2,FALSE)</f>
        <v>186****6788</v>
      </c>
      <c r="Q100" s="12" t="s">
        <v>48</v>
      </c>
    </row>
    <row r="101" s="1" customFormat="1" spans="1:17">
      <c r="A101" s="8" t="s">
        <v>229</v>
      </c>
      <c r="B101" s="8" t="s">
        <v>221</v>
      </c>
      <c r="C101" s="8" t="s">
        <v>228</v>
      </c>
      <c r="D101" s="8" t="s">
        <v>45</v>
      </c>
      <c r="E101" s="8" t="s">
        <v>45</v>
      </c>
      <c r="F101" s="8" t="s">
        <v>46</v>
      </c>
      <c r="G101" s="8" t="s">
        <v>34</v>
      </c>
      <c r="H101" s="8" t="s">
        <v>27</v>
      </c>
      <c r="I101" s="8" t="s">
        <v>28</v>
      </c>
      <c r="J101" s="8" t="s">
        <v>55</v>
      </c>
      <c r="K101" s="8" t="s">
        <v>30</v>
      </c>
      <c r="L101" s="8" t="s">
        <v>55</v>
      </c>
      <c r="M101" s="8" t="s">
        <v>46</v>
      </c>
      <c r="N101" s="8" t="s">
        <v>36</v>
      </c>
      <c r="O101" s="1" t="str">
        <f>VLOOKUP(C101,[1]Sheet2!A:C,2,FALSE)</f>
        <v>取宝-物流服务</v>
      </c>
      <c r="P101" s="1" t="str">
        <f>VLOOKUP(C101,[1]Sheet2!G:H,2,FALSE)</f>
        <v>186****6788</v>
      </c>
      <c r="Q101" s="12" t="s">
        <v>48</v>
      </c>
    </row>
    <row r="102" s="1" customFormat="1" spans="1:17">
      <c r="A102" s="8" t="s">
        <v>230</v>
      </c>
      <c r="B102" s="8" t="s">
        <v>221</v>
      </c>
      <c r="C102" s="8" t="s">
        <v>231</v>
      </c>
      <c r="D102" s="8" t="s">
        <v>45</v>
      </c>
      <c r="E102" s="8" t="s">
        <v>45</v>
      </c>
      <c r="F102" s="8" t="s">
        <v>46</v>
      </c>
      <c r="G102" s="8" t="s">
        <v>26</v>
      </c>
      <c r="H102" s="8" t="s">
        <v>27</v>
      </c>
      <c r="I102" s="8" t="s">
        <v>28</v>
      </c>
      <c r="J102" s="8" t="s">
        <v>47</v>
      </c>
      <c r="K102" s="8" t="s">
        <v>30</v>
      </c>
      <c r="L102" s="8" t="s">
        <v>47</v>
      </c>
      <c r="M102" s="8" t="s">
        <v>46</v>
      </c>
      <c r="N102" s="8" t="s">
        <v>31</v>
      </c>
      <c r="O102" s="1" t="str">
        <f>VLOOKUP(C102,[1]Sheet2!A:C,2,FALSE)</f>
        <v>取宝-物流服务</v>
      </c>
      <c r="P102" s="1" t="str">
        <f>VLOOKUP(C102,[1]Sheet2!G:H,2,FALSE)</f>
        <v>186****6788</v>
      </c>
      <c r="Q102" s="12" t="s">
        <v>48</v>
      </c>
    </row>
    <row r="103" s="1" customFormat="1" spans="1:17">
      <c r="A103" s="8" t="s">
        <v>232</v>
      </c>
      <c r="B103" s="8" t="s">
        <v>221</v>
      </c>
      <c r="C103" s="8" t="s">
        <v>231</v>
      </c>
      <c r="D103" s="8" t="s">
        <v>45</v>
      </c>
      <c r="E103" s="8" t="s">
        <v>45</v>
      </c>
      <c r="F103" s="8" t="s">
        <v>46</v>
      </c>
      <c r="G103" s="8" t="s">
        <v>34</v>
      </c>
      <c r="H103" s="8" t="s">
        <v>27</v>
      </c>
      <c r="I103" s="8" t="s">
        <v>28</v>
      </c>
      <c r="J103" s="8" t="s">
        <v>55</v>
      </c>
      <c r="K103" s="8" t="s">
        <v>30</v>
      </c>
      <c r="L103" s="8" t="s">
        <v>55</v>
      </c>
      <c r="M103" s="8" t="s">
        <v>46</v>
      </c>
      <c r="N103" s="8" t="s">
        <v>36</v>
      </c>
      <c r="O103" s="1" t="str">
        <f>VLOOKUP(C103,[1]Sheet2!A:C,2,FALSE)</f>
        <v>取宝-物流服务</v>
      </c>
      <c r="P103" s="1" t="str">
        <f>VLOOKUP(C103,[1]Sheet2!G:H,2,FALSE)</f>
        <v>186****6788</v>
      </c>
      <c r="Q103" s="12" t="s">
        <v>48</v>
      </c>
    </row>
    <row r="104" s="1" customFormat="1" spans="1:17">
      <c r="A104" s="8" t="s">
        <v>233</v>
      </c>
      <c r="B104" s="8" t="s">
        <v>221</v>
      </c>
      <c r="C104" s="8" t="s">
        <v>234</v>
      </c>
      <c r="D104" s="8" t="s">
        <v>45</v>
      </c>
      <c r="E104" s="8" t="s">
        <v>45</v>
      </c>
      <c r="F104" s="8" t="s">
        <v>46</v>
      </c>
      <c r="G104" s="8" t="s">
        <v>186</v>
      </c>
      <c r="H104" s="8" t="s">
        <v>27</v>
      </c>
      <c r="I104" s="8" t="s">
        <v>28</v>
      </c>
      <c r="J104" s="8" t="s">
        <v>29</v>
      </c>
      <c r="K104" s="8" t="s">
        <v>30</v>
      </c>
      <c r="L104" s="8" t="s">
        <v>29</v>
      </c>
      <c r="M104" s="8" t="s">
        <v>46</v>
      </c>
      <c r="N104" s="8" t="s">
        <v>31</v>
      </c>
      <c r="O104" s="1" t="str">
        <f>VLOOKUP(C104,[1]Sheet2!A:C,2,FALSE)</f>
        <v>立充充电宝取机柜-物流服务</v>
      </c>
      <c r="P104" s="1" t="str">
        <f>VLOOKUP(C104,[1]Sheet2!G:H,2,FALSE)</f>
        <v>186****6788</v>
      </c>
      <c r="Q104" s="12" t="s">
        <v>48</v>
      </c>
    </row>
    <row r="105" s="1" customFormat="1" spans="1:17">
      <c r="A105" s="8" t="s">
        <v>235</v>
      </c>
      <c r="B105" s="8" t="s">
        <v>221</v>
      </c>
      <c r="C105" s="8" t="s">
        <v>234</v>
      </c>
      <c r="D105" s="8" t="s">
        <v>45</v>
      </c>
      <c r="E105" s="8" t="s">
        <v>45</v>
      </c>
      <c r="F105" s="8" t="s">
        <v>46</v>
      </c>
      <c r="G105" s="8" t="s">
        <v>34</v>
      </c>
      <c r="H105" s="8" t="s">
        <v>27</v>
      </c>
      <c r="I105" s="8" t="s">
        <v>28</v>
      </c>
      <c r="J105" s="8" t="s">
        <v>189</v>
      </c>
      <c r="K105" s="8" t="s">
        <v>30</v>
      </c>
      <c r="L105" s="8" t="s">
        <v>189</v>
      </c>
      <c r="M105" s="8" t="s">
        <v>46</v>
      </c>
      <c r="N105" s="8" t="s">
        <v>36</v>
      </c>
      <c r="O105" s="1" t="str">
        <f>VLOOKUP(C105,[1]Sheet2!A:C,2,FALSE)</f>
        <v>立充充电宝取机柜-物流服务</v>
      </c>
      <c r="P105" s="1" t="str">
        <f>VLOOKUP(C105,[1]Sheet2!G:H,2,FALSE)</f>
        <v>186****6788</v>
      </c>
      <c r="Q105" s="12" t="s">
        <v>48</v>
      </c>
    </row>
    <row r="106" s="1" customFormat="1" spans="1:17">
      <c r="A106" s="8" t="s">
        <v>236</v>
      </c>
      <c r="B106" s="8" t="s">
        <v>221</v>
      </c>
      <c r="C106" s="8" t="s">
        <v>175</v>
      </c>
      <c r="D106" s="8" t="s">
        <v>24</v>
      </c>
      <c r="E106" s="8" t="s">
        <v>24</v>
      </c>
      <c r="F106" s="8" t="s">
        <v>176</v>
      </c>
      <c r="G106" s="8" t="s">
        <v>34</v>
      </c>
      <c r="H106" s="8" t="s">
        <v>27</v>
      </c>
      <c r="I106" s="8" t="s">
        <v>69</v>
      </c>
      <c r="J106" s="8" t="s">
        <v>70</v>
      </c>
      <c r="K106" s="8" t="s">
        <v>30</v>
      </c>
      <c r="L106" s="8" t="s">
        <v>70</v>
      </c>
      <c r="M106" s="8" t="s">
        <v>177</v>
      </c>
      <c r="N106" s="8" t="s">
        <v>71</v>
      </c>
      <c r="O106" s="1" t="str">
        <f>VLOOKUP(C106,[1]Sheet2!A:C,2,FALSE)</f>
        <v>取宝-物流服务</v>
      </c>
      <c r="P106" s="1" t="str">
        <f>VLOOKUP(C106,[1]Sheet2!G:H,2,FALSE)</f>
        <v>134****6101</v>
      </c>
      <c r="Q106" s="31" t="s">
        <v>32</v>
      </c>
    </row>
    <row r="107" s="1" customFormat="1" spans="1:17">
      <c r="A107" s="8" t="s">
        <v>237</v>
      </c>
      <c r="B107" s="8" t="s">
        <v>221</v>
      </c>
      <c r="C107" s="8" t="s">
        <v>179</v>
      </c>
      <c r="D107" s="8" t="s">
        <v>152</v>
      </c>
      <c r="E107" s="8" t="s">
        <v>24</v>
      </c>
      <c r="F107" s="8" t="s">
        <v>153</v>
      </c>
      <c r="G107" s="8" t="s">
        <v>34</v>
      </c>
      <c r="H107" s="8" t="s">
        <v>27</v>
      </c>
      <c r="I107" s="8" t="s">
        <v>69</v>
      </c>
      <c r="J107" s="8" t="s">
        <v>70</v>
      </c>
      <c r="K107" s="8" t="s">
        <v>30</v>
      </c>
      <c r="L107" s="8" t="s">
        <v>70</v>
      </c>
      <c r="M107" s="8" t="s">
        <v>153</v>
      </c>
      <c r="N107" s="8" t="s">
        <v>71</v>
      </c>
      <c r="O107" s="1" t="str">
        <f>VLOOKUP(C107,[1]Sheet2!A:C,2,FALSE)</f>
        <v>取宝-物流服务</v>
      </c>
      <c r="P107" s="1" t="str">
        <f>VLOOKUP(C107,[1]Sheet2!G:H,2,FALSE)</f>
        <v>134****6101</v>
      </c>
      <c r="Q107" s="31" t="s">
        <v>32</v>
      </c>
    </row>
    <row r="108" s="1" customFormat="1" spans="1:17">
      <c r="A108" s="8" t="s">
        <v>238</v>
      </c>
      <c r="B108" s="8" t="s">
        <v>221</v>
      </c>
      <c r="C108" s="8" t="s">
        <v>185</v>
      </c>
      <c r="D108" s="8" t="s">
        <v>152</v>
      </c>
      <c r="E108" s="8" t="s">
        <v>24</v>
      </c>
      <c r="F108" s="8" t="s">
        <v>153</v>
      </c>
      <c r="G108" s="8" t="s">
        <v>34</v>
      </c>
      <c r="H108" s="8" t="s">
        <v>27</v>
      </c>
      <c r="I108" s="8" t="s">
        <v>69</v>
      </c>
      <c r="J108" s="8" t="s">
        <v>70</v>
      </c>
      <c r="K108" s="8" t="s">
        <v>30</v>
      </c>
      <c r="L108" s="8" t="s">
        <v>70</v>
      </c>
      <c r="M108" s="8" t="s">
        <v>153</v>
      </c>
      <c r="N108" s="8" t="s">
        <v>71</v>
      </c>
      <c r="O108" s="1" t="str">
        <f>VLOOKUP(C108,[1]Sheet2!A:C,2,FALSE)</f>
        <v>取宝-物流服务</v>
      </c>
      <c r="P108" s="1" t="str">
        <f>VLOOKUP(C108,[1]Sheet2!G:H,2,FALSE)</f>
        <v>134****6101</v>
      </c>
      <c r="Q108" s="31" t="s">
        <v>32</v>
      </c>
    </row>
    <row r="109" s="1" customFormat="1" spans="1:17">
      <c r="A109" s="8" t="s">
        <v>239</v>
      </c>
      <c r="B109" s="8" t="s">
        <v>221</v>
      </c>
      <c r="C109" s="8" t="s">
        <v>197</v>
      </c>
      <c r="D109" s="8" t="s">
        <v>24</v>
      </c>
      <c r="E109" s="8" t="s">
        <v>24</v>
      </c>
      <c r="F109" s="8" t="s">
        <v>176</v>
      </c>
      <c r="G109" s="8" t="s">
        <v>34</v>
      </c>
      <c r="H109" s="8" t="s">
        <v>27</v>
      </c>
      <c r="I109" s="8" t="s">
        <v>69</v>
      </c>
      <c r="J109" s="8" t="s">
        <v>70</v>
      </c>
      <c r="K109" s="8" t="s">
        <v>30</v>
      </c>
      <c r="L109" s="8" t="s">
        <v>70</v>
      </c>
      <c r="M109" s="8" t="s">
        <v>177</v>
      </c>
      <c r="N109" s="8" t="s">
        <v>71</v>
      </c>
      <c r="O109" s="1" t="str">
        <f>VLOOKUP(C109,[1]Sheet2!A:C,2,FALSE)</f>
        <v>取宝-物流服务</v>
      </c>
      <c r="P109" s="1" t="str">
        <f>VLOOKUP(C109,[1]Sheet2!G:H,2,FALSE)</f>
        <v>134****6101</v>
      </c>
      <c r="Q109" s="31" t="s">
        <v>32</v>
      </c>
    </row>
    <row r="110" s="1" customFormat="1" spans="1:17">
      <c r="A110" s="8" t="s">
        <v>240</v>
      </c>
      <c r="B110" s="8" t="s">
        <v>221</v>
      </c>
      <c r="C110" s="8" t="s">
        <v>199</v>
      </c>
      <c r="D110" s="8" t="s">
        <v>24</v>
      </c>
      <c r="E110" s="8" t="s">
        <v>24</v>
      </c>
      <c r="F110" s="8" t="s">
        <v>176</v>
      </c>
      <c r="G110" s="8" t="s">
        <v>34</v>
      </c>
      <c r="H110" s="8" t="s">
        <v>27</v>
      </c>
      <c r="I110" s="8" t="s">
        <v>69</v>
      </c>
      <c r="J110" s="8" t="s">
        <v>84</v>
      </c>
      <c r="K110" s="8" t="s">
        <v>30</v>
      </c>
      <c r="L110" s="8" t="s">
        <v>84</v>
      </c>
      <c r="M110" s="8" t="s">
        <v>177</v>
      </c>
      <c r="N110" s="8" t="s">
        <v>71</v>
      </c>
      <c r="O110" s="1" t="str">
        <f>VLOOKUP(C110,[1]Sheet2!A:C,2,FALSE)</f>
        <v>立充充电宝取机柜-物流服务</v>
      </c>
      <c r="P110" s="1" t="str">
        <f>VLOOKUP(C110,[1]Sheet2!G:H,2,FALSE)</f>
        <v>134****6101</v>
      </c>
      <c r="Q110" s="31" t="s">
        <v>32</v>
      </c>
    </row>
    <row r="111" s="1" customFormat="1" spans="1:17">
      <c r="A111" s="8" t="s">
        <v>241</v>
      </c>
      <c r="B111" s="8" t="s">
        <v>221</v>
      </c>
      <c r="C111" s="8" t="s">
        <v>203</v>
      </c>
      <c r="D111" s="8" t="s">
        <v>204</v>
      </c>
      <c r="E111" s="8" t="s">
        <v>205</v>
      </c>
      <c r="F111" s="8" t="s">
        <v>206</v>
      </c>
      <c r="G111" s="8" t="s">
        <v>34</v>
      </c>
      <c r="H111" s="8" t="s">
        <v>27</v>
      </c>
      <c r="I111" s="8" t="s">
        <v>69</v>
      </c>
      <c r="J111" s="8" t="s">
        <v>84</v>
      </c>
      <c r="K111" s="8" t="s">
        <v>30</v>
      </c>
      <c r="L111" s="8" t="s">
        <v>84</v>
      </c>
      <c r="M111" s="8" t="s">
        <v>209</v>
      </c>
      <c r="N111" s="8" t="s">
        <v>71</v>
      </c>
      <c r="O111" s="1" t="str">
        <f>VLOOKUP(C111,[1]Sheet2!A:C,2,FALSE)</f>
        <v>立充充电宝取机柜-物流服务</v>
      </c>
      <c r="P111" s="1" t="str">
        <f>VLOOKUP(C111,[1]Sheet2!G:H,2,FALSE)</f>
        <v>131****2614</v>
      </c>
      <c r="Q111" s="31" t="s">
        <v>210</v>
      </c>
    </row>
    <row r="112" s="1" customFormat="1" spans="1:17">
      <c r="A112" s="8" t="s">
        <v>242</v>
      </c>
      <c r="B112" s="8" t="s">
        <v>221</v>
      </c>
      <c r="C112" s="8" t="s">
        <v>213</v>
      </c>
      <c r="D112" s="8" t="s">
        <v>152</v>
      </c>
      <c r="E112" s="8" t="s">
        <v>24</v>
      </c>
      <c r="F112" s="8" t="s">
        <v>153</v>
      </c>
      <c r="G112" s="8" t="s">
        <v>34</v>
      </c>
      <c r="H112" s="8" t="s">
        <v>27</v>
      </c>
      <c r="I112" s="8" t="s">
        <v>69</v>
      </c>
      <c r="J112" s="8" t="s">
        <v>70</v>
      </c>
      <c r="K112" s="8" t="s">
        <v>30</v>
      </c>
      <c r="L112" s="8" t="s">
        <v>70</v>
      </c>
      <c r="M112" s="8" t="s">
        <v>153</v>
      </c>
      <c r="N112" s="8" t="s">
        <v>71</v>
      </c>
      <c r="O112" s="1" t="str">
        <f>VLOOKUP(C112,[1]Sheet2!A:C,2,FALSE)</f>
        <v>取宝-物流服务</v>
      </c>
      <c r="P112" s="1" t="str">
        <f>VLOOKUP(C112,[1]Sheet2!G:H,2,FALSE)</f>
        <v>134****6101</v>
      </c>
      <c r="Q112" s="31" t="s">
        <v>32</v>
      </c>
    </row>
    <row r="113" s="1" customFormat="1" spans="1:17">
      <c r="A113" s="8" t="s">
        <v>243</v>
      </c>
      <c r="B113" s="8" t="s">
        <v>221</v>
      </c>
      <c r="C113" s="8" t="s">
        <v>216</v>
      </c>
      <c r="D113" s="8" t="s">
        <v>152</v>
      </c>
      <c r="E113" s="8" t="s">
        <v>24</v>
      </c>
      <c r="F113" s="8" t="s">
        <v>153</v>
      </c>
      <c r="G113" s="8" t="s">
        <v>34</v>
      </c>
      <c r="H113" s="8" t="s">
        <v>27</v>
      </c>
      <c r="I113" s="8" t="s">
        <v>69</v>
      </c>
      <c r="J113" s="8" t="s">
        <v>70</v>
      </c>
      <c r="K113" s="8" t="s">
        <v>30</v>
      </c>
      <c r="L113" s="8" t="s">
        <v>70</v>
      </c>
      <c r="M113" s="8" t="s">
        <v>153</v>
      </c>
      <c r="N113" s="8" t="s">
        <v>71</v>
      </c>
      <c r="O113" s="1" t="str">
        <f>VLOOKUP(C113,[1]Sheet2!A:C,2,FALSE)</f>
        <v>取宝-物流服务</v>
      </c>
      <c r="P113" s="1" t="str">
        <f>VLOOKUP(C113,[1]Sheet2!G:H,2,FALSE)</f>
        <v>134****6101</v>
      </c>
      <c r="Q113" s="31" t="s">
        <v>32</v>
      </c>
    </row>
    <row r="114" s="1" customFormat="1" spans="1:17">
      <c r="A114" s="8" t="s">
        <v>244</v>
      </c>
      <c r="B114" s="8" t="s">
        <v>245</v>
      </c>
      <c r="C114" s="8" t="s">
        <v>228</v>
      </c>
      <c r="D114" s="8" t="s">
        <v>45</v>
      </c>
      <c r="E114" s="8" t="s">
        <v>45</v>
      </c>
      <c r="F114" s="8" t="s">
        <v>46</v>
      </c>
      <c r="G114" s="8" t="s">
        <v>34</v>
      </c>
      <c r="H114" s="8" t="s">
        <v>27</v>
      </c>
      <c r="I114" s="8" t="s">
        <v>69</v>
      </c>
      <c r="J114" s="8" t="s">
        <v>70</v>
      </c>
      <c r="K114" s="8" t="s">
        <v>30</v>
      </c>
      <c r="L114" s="8" t="s">
        <v>70</v>
      </c>
      <c r="M114" s="8" t="s">
        <v>46</v>
      </c>
      <c r="N114" s="8" t="s">
        <v>71</v>
      </c>
      <c r="O114" s="1" t="str">
        <f>VLOOKUP(C114,[1]Sheet2!A:C,2,FALSE)</f>
        <v>取宝-物流服务</v>
      </c>
      <c r="P114" s="1" t="str">
        <f>VLOOKUP(C114,[1]Sheet2!G:H,2,FALSE)</f>
        <v>186****6788</v>
      </c>
      <c r="Q114" s="12" t="s">
        <v>48</v>
      </c>
    </row>
    <row r="115" s="1" customFormat="1" spans="1:17">
      <c r="A115" s="8" t="s">
        <v>246</v>
      </c>
      <c r="B115" s="8" t="s">
        <v>245</v>
      </c>
      <c r="C115" s="8" t="s">
        <v>231</v>
      </c>
      <c r="D115" s="8" t="s">
        <v>45</v>
      </c>
      <c r="E115" s="8" t="s">
        <v>45</v>
      </c>
      <c r="F115" s="8" t="s">
        <v>46</v>
      </c>
      <c r="G115" s="8" t="s">
        <v>34</v>
      </c>
      <c r="H115" s="8" t="s">
        <v>27</v>
      </c>
      <c r="I115" s="8" t="s">
        <v>69</v>
      </c>
      <c r="J115" s="8" t="s">
        <v>70</v>
      </c>
      <c r="K115" s="8" t="s">
        <v>30</v>
      </c>
      <c r="L115" s="8" t="s">
        <v>70</v>
      </c>
      <c r="M115" s="8" t="s">
        <v>46</v>
      </c>
      <c r="N115" s="8" t="s">
        <v>71</v>
      </c>
      <c r="O115" s="1" t="str">
        <f>VLOOKUP(C115,[1]Sheet2!A:C,2,FALSE)</f>
        <v>取宝-物流服务</v>
      </c>
      <c r="P115" s="1" t="str">
        <f>VLOOKUP(C115,[1]Sheet2!G:H,2,FALSE)</f>
        <v>186****6788</v>
      </c>
      <c r="Q115" s="12" t="s">
        <v>48</v>
      </c>
    </row>
    <row r="116" s="1" customFormat="1" spans="1:17">
      <c r="A116" s="8" t="s">
        <v>247</v>
      </c>
      <c r="B116" s="8" t="s">
        <v>245</v>
      </c>
      <c r="C116" s="8" t="s">
        <v>234</v>
      </c>
      <c r="D116" s="8" t="s">
        <v>45</v>
      </c>
      <c r="E116" s="8" t="s">
        <v>45</v>
      </c>
      <c r="F116" s="8" t="s">
        <v>46</v>
      </c>
      <c r="G116" s="8" t="s">
        <v>34</v>
      </c>
      <c r="H116" s="8" t="s">
        <v>27</v>
      </c>
      <c r="I116" s="8" t="s">
        <v>69</v>
      </c>
      <c r="J116" s="8" t="s">
        <v>84</v>
      </c>
      <c r="K116" s="8" t="s">
        <v>30</v>
      </c>
      <c r="L116" s="8" t="s">
        <v>84</v>
      </c>
      <c r="M116" s="8" t="s">
        <v>46</v>
      </c>
      <c r="N116" s="8" t="s">
        <v>71</v>
      </c>
      <c r="O116" s="1" t="str">
        <f>VLOOKUP(C116,[1]Sheet2!A:C,2,FALSE)</f>
        <v>立充充电宝取机柜-物流服务</v>
      </c>
      <c r="P116" s="1" t="str">
        <f>VLOOKUP(C116,[1]Sheet2!G:H,2,FALSE)</f>
        <v>186****6788</v>
      </c>
      <c r="Q116" s="12" t="s">
        <v>48</v>
      </c>
    </row>
    <row r="117" s="1" customFormat="1" spans="1:17">
      <c r="A117" s="8" t="s">
        <v>248</v>
      </c>
      <c r="B117" s="8" t="s">
        <v>245</v>
      </c>
      <c r="C117" s="8" t="s">
        <v>182</v>
      </c>
      <c r="D117" s="8" t="s">
        <v>152</v>
      </c>
      <c r="E117" s="8" t="s">
        <v>24</v>
      </c>
      <c r="F117" s="8" t="s">
        <v>153</v>
      </c>
      <c r="G117" s="8" t="s">
        <v>34</v>
      </c>
      <c r="H117" s="8" t="s">
        <v>27</v>
      </c>
      <c r="I117" s="8" t="s">
        <v>69</v>
      </c>
      <c r="J117" s="8" t="s">
        <v>70</v>
      </c>
      <c r="K117" s="8" t="s">
        <v>30</v>
      </c>
      <c r="L117" s="8" t="s">
        <v>70</v>
      </c>
      <c r="M117" s="8" t="s">
        <v>153</v>
      </c>
      <c r="N117" s="8" t="s">
        <v>71</v>
      </c>
      <c r="O117" s="1" t="str">
        <f>VLOOKUP(C117,[1]Sheet2!A:C,2,FALSE)</f>
        <v>取宝-物流服务</v>
      </c>
      <c r="P117" s="1" t="str">
        <f>VLOOKUP(C117,[1]Sheet2!G:H,2,FALSE)</f>
        <v>134****6101</v>
      </c>
      <c r="Q117" s="31" t="s">
        <v>32</v>
      </c>
    </row>
    <row r="118" s="1" customFormat="1" spans="1:17">
      <c r="A118" s="8" t="s">
        <v>249</v>
      </c>
      <c r="B118" s="8" t="s">
        <v>245</v>
      </c>
      <c r="C118" s="8" t="s">
        <v>195</v>
      </c>
      <c r="D118" s="8" t="s">
        <v>24</v>
      </c>
      <c r="E118" s="8" t="s">
        <v>24</v>
      </c>
      <c r="F118" s="8" t="s">
        <v>176</v>
      </c>
      <c r="G118" s="8" t="s">
        <v>34</v>
      </c>
      <c r="H118" s="8" t="s">
        <v>27</v>
      </c>
      <c r="I118" s="8" t="s">
        <v>69</v>
      </c>
      <c r="J118" s="8" t="s">
        <v>70</v>
      </c>
      <c r="K118" s="8" t="s">
        <v>30</v>
      </c>
      <c r="L118" s="8" t="s">
        <v>70</v>
      </c>
      <c r="M118" s="8" t="s">
        <v>177</v>
      </c>
      <c r="N118" s="8" t="s">
        <v>71</v>
      </c>
      <c r="O118" s="1" t="str">
        <f>VLOOKUP(C118,[1]Sheet2!A:C,2,FALSE)</f>
        <v>取宝-物流服务</v>
      </c>
      <c r="P118" s="1" t="str">
        <f>VLOOKUP(C118,[1]Sheet2!G:H,2,FALSE)</f>
        <v>134****6101</v>
      </c>
      <c r="Q118" s="31" t="s">
        <v>32</v>
      </c>
    </row>
    <row r="119" s="1" customFormat="1" spans="1:17">
      <c r="A119" s="8" t="s">
        <v>250</v>
      </c>
      <c r="B119" s="8" t="s">
        <v>251</v>
      </c>
      <c r="C119" s="8" t="s">
        <v>252</v>
      </c>
      <c r="D119" s="8" t="s">
        <v>45</v>
      </c>
      <c r="E119" s="8" t="s">
        <v>45</v>
      </c>
      <c r="F119" s="8" t="s">
        <v>253</v>
      </c>
      <c r="G119" s="8" t="s">
        <v>26</v>
      </c>
      <c r="H119" s="8" t="s">
        <v>27</v>
      </c>
      <c r="I119" s="8" t="s">
        <v>28</v>
      </c>
      <c r="J119" s="8" t="s">
        <v>47</v>
      </c>
      <c r="K119" s="8" t="s">
        <v>30</v>
      </c>
      <c r="L119" s="8" t="s">
        <v>47</v>
      </c>
      <c r="M119" s="8" t="s">
        <v>46</v>
      </c>
      <c r="N119" s="8" t="s">
        <v>31</v>
      </c>
      <c r="O119" s="1" t="str">
        <f>VLOOKUP(C119,[1]Sheet2!A:C,2,FALSE)</f>
        <v>补宝-物流服务</v>
      </c>
      <c r="P119" s="1" t="str">
        <f>VLOOKUP(C119,[1]Sheet2!G:H,2,FALSE)</f>
        <v>186****6788</v>
      </c>
      <c r="Q119" s="12" t="s">
        <v>48</v>
      </c>
    </row>
    <row r="120" s="1" customFormat="1" spans="1:17">
      <c r="A120" s="8" t="s">
        <v>254</v>
      </c>
      <c r="B120" s="8" t="s">
        <v>251</v>
      </c>
      <c r="C120" s="8" t="s">
        <v>255</v>
      </c>
      <c r="D120" s="8" t="s">
        <v>45</v>
      </c>
      <c r="E120" s="8" t="s">
        <v>45</v>
      </c>
      <c r="F120" s="8" t="s">
        <v>256</v>
      </c>
      <c r="G120" s="8" t="s">
        <v>26</v>
      </c>
      <c r="H120" s="8" t="s">
        <v>27</v>
      </c>
      <c r="I120" s="8" t="s">
        <v>28</v>
      </c>
      <c r="J120" s="8" t="s">
        <v>47</v>
      </c>
      <c r="K120" s="8" t="s">
        <v>30</v>
      </c>
      <c r="L120" s="8" t="s">
        <v>47</v>
      </c>
      <c r="M120" s="8" t="s">
        <v>46</v>
      </c>
      <c r="N120" s="8" t="s">
        <v>31</v>
      </c>
      <c r="O120" s="1" t="str">
        <f>VLOOKUP(C120,[1]Sheet2!A:C,2,FALSE)</f>
        <v>补宝-物流服务</v>
      </c>
      <c r="P120" s="1" t="str">
        <f>VLOOKUP(C120,[1]Sheet2!G:H,2,FALSE)</f>
        <v>186****6788</v>
      </c>
      <c r="Q120" s="12" t="s">
        <v>48</v>
      </c>
    </row>
    <row r="121" s="1" customFormat="1" spans="1:17">
      <c r="A121" s="8" t="s">
        <v>257</v>
      </c>
      <c r="B121" s="8" t="s">
        <v>251</v>
      </c>
      <c r="C121" s="8" t="s">
        <v>258</v>
      </c>
      <c r="D121" s="8" t="s">
        <v>45</v>
      </c>
      <c r="E121" s="8" t="s">
        <v>45</v>
      </c>
      <c r="F121" s="8" t="s">
        <v>46</v>
      </c>
      <c r="G121" s="8" t="s">
        <v>26</v>
      </c>
      <c r="H121" s="8" t="s">
        <v>27</v>
      </c>
      <c r="I121" s="8" t="s">
        <v>28</v>
      </c>
      <c r="J121" s="8" t="s">
        <v>47</v>
      </c>
      <c r="K121" s="8" t="s">
        <v>30</v>
      </c>
      <c r="L121" s="8" t="s">
        <v>47</v>
      </c>
      <c r="M121" s="8" t="s">
        <v>46</v>
      </c>
      <c r="N121" s="8" t="s">
        <v>31</v>
      </c>
      <c r="O121" s="1" t="str">
        <f>VLOOKUP(C121,[1]Sheet2!A:C,2,FALSE)</f>
        <v>取宝-物流服务</v>
      </c>
      <c r="P121" s="1" t="str">
        <f>VLOOKUP(C121,[1]Sheet2!G:H,2,FALSE)</f>
        <v>186****6788</v>
      </c>
      <c r="Q121" s="12" t="s">
        <v>48</v>
      </c>
    </row>
    <row r="122" s="1" customFormat="1" spans="1:17">
      <c r="A122" s="8" t="s">
        <v>259</v>
      </c>
      <c r="B122" s="8" t="s">
        <v>251</v>
      </c>
      <c r="C122" s="8" t="s">
        <v>258</v>
      </c>
      <c r="D122" s="8" t="s">
        <v>45</v>
      </c>
      <c r="E122" s="8" t="s">
        <v>45</v>
      </c>
      <c r="F122" s="8" t="s">
        <v>46</v>
      </c>
      <c r="G122" s="8" t="s">
        <v>34</v>
      </c>
      <c r="H122" s="8" t="s">
        <v>27</v>
      </c>
      <c r="I122" s="8" t="s">
        <v>28</v>
      </c>
      <c r="J122" s="8" t="s">
        <v>55</v>
      </c>
      <c r="K122" s="8" t="s">
        <v>30</v>
      </c>
      <c r="L122" s="8" t="s">
        <v>55</v>
      </c>
      <c r="M122" s="8" t="s">
        <v>46</v>
      </c>
      <c r="N122" s="8" t="s">
        <v>36</v>
      </c>
      <c r="O122" s="1" t="str">
        <f>VLOOKUP(C122,[1]Sheet2!A:C,2,FALSE)</f>
        <v>取宝-物流服务</v>
      </c>
      <c r="P122" s="1" t="str">
        <f>VLOOKUP(C122,[1]Sheet2!G:H,2,FALSE)</f>
        <v>186****6788</v>
      </c>
      <c r="Q122" s="12" t="s">
        <v>48</v>
      </c>
    </row>
    <row r="123" s="1" customFormat="1" spans="1:17">
      <c r="A123" s="8" t="s">
        <v>260</v>
      </c>
      <c r="B123" s="8" t="s">
        <v>251</v>
      </c>
      <c r="C123" s="8" t="s">
        <v>261</v>
      </c>
      <c r="D123" s="8" t="s">
        <v>45</v>
      </c>
      <c r="E123" s="8" t="s">
        <v>45</v>
      </c>
      <c r="F123" s="8" t="s">
        <v>262</v>
      </c>
      <c r="G123" s="8" t="s">
        <v>26</v>
      </c>
      <c r="H123" s="8" t="s">
        <v>27</v>
      </c>
      <c r="I123" s="8" t="s">
        <v>28</v>
      </c>
      <c r="J123" s="8" t="s">
        <v>47</v>
      </c>
      <c r="K123" s="8" t="s">
        <v>30</v>
      </c>
      <c r="L123" s="8" t="s">
        <v>47</v>
      </c>
      <c r="M123" s="8" t="s">
        <v>46</v>
      </c>
      <c r="N123" s="8" t="s">
        <v>31</v>
      </c>
      <c r="O123" s="1" t="str">
        <f>VLOOKUP(C123,[1]Sheet2!A:C,2,FALSE)</f>
        <v>补宝-物流服务</v>
      </c>
      <c r="P123" s="1" t="str">
        <f>VLOOKUP(C123,[1]Sheet2!G:H,2,FALSE)</f>
        <v>186****6788</v>
      </c>
      <c r="Q123" s="12" t="s">
        <v>48</v>
      </c>
    </row>
    <row r="124" s="1" customFormat="1" spans="1:17">
      <c r="A124" s="8" t="s">
        <v>263</v>
      </c>
      <c r="B124" s="8" t="s">
        <v>251</v>
      </c>
      <c r="C124" s="8" t="s">
        <v>264</v>
      </c>
      <c r="D124" s="8" t="s">
        <v>45</v>
      </c>
      <c r="E124" s="8" t="s">
        <v>45</v>
      </c>
      <c r="F124" s="8" t="s">
        <v>265</v>
      </c>
      <c r="G124" s="8" t="s">
        <v>26</v>
      </c>
      <c r="H124" s="8" t="s">
        <v>27</v>
      </c>
      <c r="I124" s="8" t="s">
        <v>28</v>
      </c>
      <c r="J124" s="8" t="s">
        <v>47</v>
      </c>
      <c r="K124" s="8" t="s">
        <v>30</v>
      </c>
      <c r="L124" s="8" t="s">
        <v>47</v>
      </c>
      <c r="M124" s="8" t="s">
        <v>46</v>
      </c>
      <c r="N124" s="8" t="s">
        <v>31</v>
      </c>
      <c r="O124" s="1" t="str">
        <f>VLOOKUP(C124,[1]Sheet2!A:C,2,FALSE)</f>
        <v>补宝-物流服务</v>
      </c>
      <c r="P124" s="1" t="str">
        <f>VLOOKUP(C124,[1]Sheet2!G:H,2,FALSE)</f>
        <v>186****6788</v>
      </c>
      <c r="Q124" s="12" t="s">
        <v>48</v>
      </c>
    </row>
    <row r="125" s="1" customFormat="1" spans="1:17">
      <c r="A125" s="8" t="s">
        <v>266</v>
      </c>
      <c r="B125" s="8" t="s">
        <v>251</v>
      </c>
      <c r="C125" s="8" t="s">
        <v>267</v>
      </c>
      <c r="D125" s="8" t="s">
        <v>45</v>
      </c>
      <c r="E125" s="8" t="s">
        <v>45</v>
      </c>
      <c r="F125" s="8" t="s">
        <v>268</v>
      </c>
      <c r="G125" s="8" t="s">
        <v>26</v>
      </c>
      <c r="H125" s="8" t="s">
        <v>27</v>
      </c>
      <c r="I125" s="8" t="s">
        <v>28</v>
      </c>
      <c r="J125" s="8" t="s">
        <v>47</v>
      </c>
      <c r="K125" s="8" t="s">
        <v>30</v>
      </c>
      <c r="L125" s="8" t="s">
        <v>47</v>
      </c>
      <c r="M125" s="8" t="s">
        <v>46</v>
      </c>
      <c r="N125" s="8" t="s">
        <v>31</v>
      </c>
      <c r="O125" s="1" t="str">
        <f>VLOOKUP(C125,[1]Sheet2!A:C,2,FALSE)</f>
        <v>补宝-物流服务</v>
      </c>
      <c r="P125" s="1" t="str">
        <f>VLOOKUP(C125,[1]Sheet2!G:H,2,FALSE)</f>
        <v>186****6788</v>
      </c>
      <c r="Q125" s="12" t="s">
        <v>48</v>
      </c>
    </row>
    <row r="126" s="1" customFormat="1" spans="1:17">
      <c r="A126" s="8" t="s">
        <v>269</v>
      </c>
      <c r="B126" s="8" t="s">
        <v>251</v>
      </c>
      <c r="C126" s="8" t="s">
        <v>270</v>
      </c>
      <c r="D126" s="8" t="s">
        <v>45</v>
      </c>
      <c r="E126" s="8" t="s">
        <v>45</v>
      </c>
      <c r="F126" s="8" t="s">
        <v>268</v>
      </c>
      <c r="G126" s="8" t="s">
        <v>26</v>
      </c>
      <c r="H126" s="8" t="s">
        <v>27</v>
      </c>
      <c r="I126" s="8" t="s">
        <v>28</v>
      </c>
      <c r="J126" s="8" t="s">
        <v>47</v>
      </c>
      <c r="K126" s="8" t="s">
        <v>30</v>
      </c>
      <c r="L126" s="8" t="s">
        <v>47</v>
      </c>
      <c r="M126" s="8" t="s">
        <v>46</v>
      </c>
      <c r="N126" s="8" t="s">
        <v>31</v>
      </c>
      <c r="O126" s="1" t="str">
        <f>VLOOKUP(C126,[1]Sheet2!A:C,2,FALSE)</f>
        <v>补宝-物流服务</v>
      </c>
      <c r="P126" s="1" t="str">
        <f>VLOOKUP(C126,[1]Sheet2!G:H,2,FALSE)</f>
        <v>186****6788</v>
      </c>
      <c r="Q126" s="12" t="s">
        <v>48</v>
      </c>
    </row>
    <row r="127" s="1" customFormat="1" spans="1:17">
      <c r="A127" s="8" t="s">
        <v>271</v>
      </c>
      <c r="B127" s="8" t="s">
        <v>251</v>
      </c>
      <c r="C127" s="8" t="s">
        <v>272</v>
      </c>
      <c r="D127" s="8" t="s">
        <v>45</v>
      </c>
      <c r="E127" s="8" t="s">
        <v>45</v>
      </c>
      <c r="F127" s="8" t="s">
        <v>273</v>
      </c>
      <c r="G127" s="8" t="s">
        <v>26</v>
      </c>
      <c r="H127" s="8" t="s">
        <v>27</v>
      </c>
      <c r="I127" s="8" t="s">
        <v>28</v>
      </c>
      <c r="J127" s="8" t="s">
        <v>47</v>
      </c>
      <c r="K127" s="8" t="s">
        <v>30</v>
      </c>
      <c r="L127" s="8" t="s">
        <v>47</v>
      </c>
      <c r="M127" s="8" t="s">
        <v>46</v>
      </c>
      <c r="N127" s="8" t="s">
        <v>31</v>
      </c>
      <c r="O127" s="1" t="str">
        <f>VLOOKUP(C127,[1]Sheet2!A:C,2,FALSE)</f>
        <v>补宝-物流服务</v>
      </c>
      <c r="P127" s="1" t="str">
        <f>VLOOKUP(C127,[1]Sheet2!G:H,2,FALSE)</f>
        <v>186****6788</v>
      </c>
      <c r="Q127" s="12" t="s">
        <v>48</v>
      </c>
    </row>
    <row r="128" s="1" customFormat="1" spans="1:17">
      <c r="A128" s="8" t="s">
        <v>274</v>
      </c>
      <c r="B128" s="8" t="s">
        <v>275</v>
      </c>
      <c r="C128" s="8" t="s">
        <v>276</v>
      </c>
      <c r="D128" s="8" t="s">
        <v>277</v>
      </c>
      <c r="E128" s="8" t="s">
        <v>278</v>
      </c>
      <c r="F128" s="8" t="s">
        <v>279</v>
      </c>
      <c r="G128" s="8" t="s">
        <v>186</v>
      </c>
      <c r="H128" s="8" t="s">
        <v>27</v>
      </c>
      <c r="I128" s="8" t="s">
        <v>28</v>
      </c>
      <c r="J128" s="8" t="s">
        <v>201</v>
      </c>
      <c r="K128" s="8" t="s">
        <v>30</v>
      </c>
      <c r="L128" s="8" t="s">
        <v>201</v>
      </c>
      <c r="M128" s="8" t="s">
        <v>280</v>
      </c>
      <c r="N128" s="8" t="s">
        <v>31</v>
      </c>
      <c r="O128" s="1" t="str">
        <f>VLOOKUP(C128,[1]Sheet2!A:C,2,FALSE)</f>
        <v>立充充电宝取机柜-物流服务</v>
      </c>
      <c r="P128" s="1" t="str">
        <f>VLOOKUP(C128,[1]Sheet2!G:H,2,FALSE)</f>
        <v>136****7868</v>
      </c>
      <c r="Q128" s="31" t="s">
        <v>281</v>
      </c>
    </row>
    <row r="129" s="1" customFormat="1" spans="1:17">
      <c r="A129" s="8" t="s">
        <v>282</v>
      </c>
      <c r="B129" s="8" t="s">
        <v>275</v>
      </c>
      <c r="C129" s="8" t="s">
        <v>276</v>
      </c>
      <c r="D129" s="8" t="s">
        <v>277</v>
      </c>
      <c r="E129" s="8" t="s">
        <v>278</v>
      </c>
      <c r="F129" s="8" t="s">
        <v>279</v>
      </c>
      <c r="G129" s="8" t="s">
        <v>34</v>
      </c>
      <c r="H129" s="8" t="s">
        <v>27</v>
      </c>
      <c r="I129" s="8" t="s">
        <v>28</v>
      </c>
      <c r="J129" s="8" t="s">
        <v>70</v>
      </c>
      <c r="K129" s="8" t="s">
        <v>30</v>
      </c>
      <c r="L129" s="8" t="s">
        <v>70</v>
      </c>
      <c r="M129" s="8" t="s">
        <v>280</v>
      </c>
      <c r="N129" s="8" t="s">
        <v>36</v>
      </c>
      <c r="O129" s="1" t="str">
        <f>VLOOKUP(C129,[1]Sheet2!A:C,2,FALSE)</f>
        <v>立充充电宝取机柜-物流服务</v>
      </c>
      <c r="P129" s="1" t="str">
        <f>VLOOKUP(C129,[1]Sheet2!G:H,2,FALSE)</f>
        <v>136****7868</v>
      </c>
      <c r="Q129" s="31" t="s">
        <v>281</v>
      </c>
    </row>
    <row r="130" s="1" customFormat="1" spans="1:17">
      <c r="A130" s="8" t="s">
        <v>283</v>
      </c>
      <c r="B130" s="8" t="s">
        <v>275</v>
      </c>
      <c r="C130" s="8" t="s">
        <v>284</v>
      </c>
      <c r="D130" s="8" t="s">
        <v>76</v>
      </c>
      <c r="E130" s="8" t="s">
        <v>45</v>
      </c>
      <c r="F130" s="8" t="s">
        <v>89</v>
      </c>
      <c r="G130" s="8" t="s">
        <v>285</v>
      </c>
      <c r="H130" s="8" t="s">
        <v>27</v>
      </c>
      <c r="I130" s="8" t="s">
        <v>28</v>
      </c>
      <c r="J130" s="8" t="s">
        <v>40</v>
      </c>
      <c r="K130" s="8" t="s">
        <v>30</v>
      </c>
      <c r="L130" s="8" t="s">
        <v>40</v>
      </c>
      <c r="M130" s="8" t="s">
        <v>90</v>
      </c>
      <c r="N130" s="8" t="s">
        <v>31</v>
      </c>
      <c r="O130" s="1" t="str">
        <f>VLOOKUP(C130,[1]Sheet2!A:C,2,FALSE)</f>
        <v>立充充电宝取机柜-仅服务</v>
      </c>
      <c r="P130" s="1" t="str">
        <f>VLOOKUP(C130,[1]Sheet2!G:H,2,FALSE)</f>
        <v>130****4667</v>
      </c>
      <c r="Q130" s="31" t="s">
        <v>77</v>
      </c>
    </row>
    <row r="131" s="1" customFormat="1" spans="1:17">
      <c r="A131" s="8" t="s">
        <v>286</v>
      </c>
      <c r="B131" s="8" t="s">
        <v>275</v>
      </c>
      <c r="C131" s="8" t="s">
        <v>287</v>
      </c>
      <c r="D131" s="8" t="s">
        <v>76</v>
      </c>
      <c r="E131" s="8" t="s">
        <v>45</v>
      </c>
      <c r="F131" s="8" t="s">
        <v>89</v>
      </c>
      <c r="G131" s="8" t="s">
        <v>288</v>
      </c>
      <c r="H131" s="8" t="s">
        <v>27</v>
      </c>
      <c r="I131" s="8" t="s">
        <v>28</v>
      </c>
      <c r="J131" s="8" t="s">
        <v>118</v>
      </c>
      <c r="K131" s="8" t="s">
        <v>30</v>
      </c>
      <c r="L131" s="8" t="s">
        <v>118</v>
      </c>
      <c r="M131" s="8" t="s">
        <v>90</v>
      </c>
      <c r="N131" s="8" t="s">
        <v>31</v>
      </c>
      <c r="O131" s="1" t="str">
        <f>VLOOKUP(C131,[1]Sheet2!A:C,2,FALSE)</f>
        <v>立充充电宝取机柜-仅服务</v>
      </c>
      <c r="P131" s="1" t="str">
        <f>VLOOKUP(C131,[1]Sheet2!G:H,2,FALSE)</f>
        <v>130****4667</v>
      </c>
      <c r="Q131" s="31" t="s">
        <v>77</v>
      </c>
    </row>
    <row r="132" s="1" customFormat="1" spans="1:17">
      <c r="A132" s="8" t="s">
        <v>289</v>
      </c>
      <c r="B132" s="8" t="s">
        <v>275</v>
      </c>
      <c r="C132" s="8" t="s">
        <v>287</v>
      </c>
      <c r="D132" s="8" t="s">
        <v>76</v>
      </c>
      <c r="E132" s="8" t="s">
        <v>45</v>
      </c>
      <c r="F132" s="8" t="s">
        <v>89</v>
      </c>
      <c r="G132" s="8" t="s">
        <v>34</v>
      </c>
      <c r="H132" s="8" t="s">
        <v>27</v>
      </c>
      <c r="I132" s="8" t="s">
        <v>28</v>
      </c>
      <c r="J132" s="8" t="s">
        <v>84</v>
      </c>
      <c r="K132" s="8" t="s">
        <v>30</v>
      </c>
      <c r="L132" s="8" t="s">
        <v>84</v>
      </c>
      <c r="M132" s="8" t="s">
        <v>90</v>
      </c>
      <c r="N132" s="8" t="s">
        <v>36</v>
      </c>
      <c r="O132" s="1" t="str">
        <f>VLOOKUP(C132,[1]Sheet2!A:C,2,FALSE)</f>
        <v>立充充电宝取机柜-仅服务</v>
      </c>
      <c r="P132" s="1" t="str">
        <f>VLOOKUP(C132,[1]Sheet2!G:H,2,FALSE)</f>
        <v>130****4667</v>
      </c>
      <c r="Q132" s="31" t="s">
        <v>77</v>
      </c>
    </row>
    <row r="133" s="1" customFormat="1" spans="1:17">
      <c r="A133" s="8" t="s">
        <v>290</v>
      </c>
      <c r="B133" s="8" t="s">
        <v>275</v>
      </c>
      <c r="C133" s="8" t="s">
        <v>291</v>
      </c>
      <c r="D133" s="8" t="s">
        <v>76</v>
      </c>
      <c r="E133" s="8" t="s">
        <v>45</v>
      </c>
      <c r="F133" s="8" t="s">
        <v>89</v>
      </c>
      <c r="G133" s="8" t="s">
        <v>26</v>
      </c>
      <c r="H133" s="8" t="s">
        <v>27</v>
      </c>
      <c r="I133" s="8" t="s">
        <v>28</v>
      </c>
      <c r="J133" s="8" t="s">
        <v>29</v>
      </c>
      <c r="K133" s="8" t="s">
        <v>30</v>
      </c>
      <c r="L133" s="8" t="s">
        <v>29</v>
      </c>
      <c r="M133" s="8" t="s">
        <v>90</v>
      </c>
      <c r="N133" s="8" t="s">
        <v>31</v>
      </c>
      <c r="O133" s="1" t="str">
        <f>VLOOKUP(C133,[1]Sheet2!A:C,2,FALSE)</f>
        <v>立充充电宝取机柜-仅服务</v>
      </c>
      <c r="P133" s="1" t="str">
        <f>VLOOKUP(C133,[1]Sheet2!G:H,2,FALSE)</f>
        <v>130****4667</v>
      </c>
      <c r="Q133" s="31" t="s">
        <v>77</v>
      </c>
    </row>
    <row r="134" s="1" customFormat="1" spans="1:17">
      <c r="A134" s="8" t="s">
        <v>292</v>
      </c>
      <c r="B134" s="8" t="s">
        <v>275</v>
      </c>
      <c r="C134" s="8" t="s">
        <v>291</v>
      </c>
      <c r="D134" s="8" t="s">
        <v>76</v>
      </c>
      <c r="E134" s="8" t="s">
        <v>45</v>
      </c>
      <c r="F134" s="8" t="s">
        <v>89</v>
      </c>
      <c r="G134" s="8" t="s">
        <v>34</v>
      </c>
      <c r="H134" s="8" t="s">
        <v>27</v>
      </c>
      <c r="I134" s="8" t="s">
        <v>28</v>
      </c>
      <c r="J134" s="8" t="s">
        <v>35</v>
      </c>
      <c r="K134" s="8" t="s">
        <v>30</v>
      </c>
      <c r="L134" s="8" t="s">
        <v>35</v>
      </c>
      <c r="M134" s="8" t="s">
        <v>90</v>
      </c>
      <c r="N134" s="8" t="s">
        <v>36</v>
      </c>
      <c r="O134" s="1" t="str">
        <f>VLOOKUP(C134,[1]Sheet2!A:C,2,FALSE)</f>
        <v>立充充电宝取机柜-仅服务</v>
      </c>
      <c r="P134" s="1" t="str">
        <f>VLOOKUP(C134,[1]Sheet2!G:H,2,FALSE)</f>
        <v>130****4667</v>
      </c>
      <c r="Q134" s="31" t="s">
        <v>77</v>
      </c>
    </row>
    <row r="135" s="1" customFormat="1" spans="1:17">
      <c r="A135" s="8" t="s">
        <v>293</v>
      </c>
      <c r="B135" s="8" t="s">
        <v>294</v>
      </c>
      <c r="C135" s="8" t="s">
        <v>295</v>
      </c>
      <c r="D135" s="8" t="s">
        <v>45</v>
      </c>
      <c r="E135" s="8" t="s">
        <v>76</v>
      </c>
      <c r="F135" s="8" t="s">
        <v>296</v>
      </c>
      <c r="G135" s="8" t="s">
        <v>26</v>
      </c>
      <c r="H135" s="8" t="s">
        <v>27</v>
      </c>
      <c r="I135" s="8" t="s">
        <v>28</v>
      </c>
      <c r="J135" s="8" t="s">
        <v>29</v>
      </c>
      <c r="K135" s="8" t="s">
        <v>30</v>
      </c>
      <c r="L135" s="8" t="s">
        <v>29</v>
      </c>
      <c r="M135" s="8" t="s">
        <v>78</v>
      </c>
      <c r="N135" s="8" t="s">
        <v>31</v>
      </c>
      <c r="O135" s="1" t="str">
        <f>VLOOKUP(C135,[1]Sheet2!A:C,2,FALSE)</f>
        <v>补宝-物流服务</v>
      </c>
      <c r="P135" s="1" t="str">
        <f>VLOOKUP(C135,[1]Sheet2!G:H,2,FALSE)</f>
        <v>130****4667</v>
      </c>
      <c r="Q135" s="31" t="s">
        <v>77</v>
      </c>
    </row>
    <row r="136" s="1" customFormat="1" spans="1:17">
      <c r="A136" s="8" t="s">
        <v>297</v>
      </c>
      <c r="B136" s="8" t="s">
        <v>294</v>
      </c>
      <c r="C136" s="8" t="s">
        <v>295</v>
      </c>
      <c r="D136" s="8" t="s">
        <v>45</v>
      </c>
      <c r="E136" s="8" t="s">
        <v>76</v>
      </c>
      <c r="F136" s="8" t="s">
        <v>296</v>
      </c>
      <c r="G136" s="8" t="s">
        <v>34</v>
      </c>
      <c r="H136" s="8" t="s">
        <v>27</v>
      </c>
      <c r="I136" s="8" t="s">
        <v>28</v>
      </c>
      <c r="J136" s="8" t="s">
        <v>55</v>
      </c>
      <c r="K136" s="8" t="s">
        <v>30</v>
      </c>
      <c r="L136" s="8" t="s">
        <v>55</v>
      </c>
      <c r="M136" s="8" t="s">
        <v>78</v>
      </c>
      <c r="N136" s="8" t="s">
        <v>36</v>
      </c>
      <c r="O136" s="1" t="str">
        <f>VLOOKUP(C136,[1]Sheet2!A:C,2,FALSE)</f>
        <v>补宝-物流服务</v>
      </c>
      <c r="P136" s="1" t="str">
        <f>VLOOKUP(C136,[1]Sheet2!G:H,2,FALSE)</f>
        <v>130****4667</v>
      </c>
      <c r="Q136" s="31" t="s">
        <v>77</v>
      </c>
    </row>
    <row r="137" s="1" customFormat="1" spans="1:17">
      <c r="A137" s="8" t="s">
        <v>298</v>
      </c>
      <c r="B137" s="8" t="s">
        <v>294</v>
      </c>
      <c r="C137" s="8" t="s">
        <v>252</v>
      </c>
      <c r="D137" s="8" t="s">
        <v>45</v>
      </c>
      <c r="E137" s="8" t="s">
        <v>45</v>
      </c>
      <c r="F137" s="8" t="s">
        <v>253</v>
      </c>
      <c r="G137" s="8" t="s">
        <v>34</v>
      </c>
      <c r="H137" s="8" t="s">
        <v>27</v>
      </c>
      <c r="I137" s="8" t="s">
        <v>69</v>
      </c>
      <c r="J137" s="8" t="s">
        <v>70</v>
      </c>
      <c r="K137" s="8" t="s">
        <v>30</v>
      </c>
      <c r="L137" s="8" t="s">
        <v>70</v>
      </c>
      <c r="M137" s="8" t="s">
        <v>46</v>
      </c>
      <c r="N137" s="8" t="s">
        <v>219</v>
      </c>
      <c r="O137" s="1" t="str">
        <f>VLOOKUP(C137,[1]Sheet2!A:C,2,FALSE)</f>
        <v>补宝-物流服务</v>
      </c>
      <c r="P137" s="1" t="str">
        <f>VLOOKUP(C137,[1]Sheet2!G:H,2,FALSE)</f>
        <v>186****6788</v>
      </c>
      <c r="Q137" s="12" t="s">
        <v>48</v>
      </c>
    </row>
    <row r="138" s="1" customFormat="1" spans="1:17">
      <c r="A138" s="8" t="s">
        <v>299</v>
      </c>
      <c r="B138" s="8" t="s">
        <v>294</v>
      </c>
      <c r="C138" s="8" t="s">
        <v>255</v>
      </c>
      <c r="D138" s="8" t="s">
        <v>45</v>
      </c>
      <c r="E138" s="8" t="s">
        <v>45</v>
      </c>
      <c r="F138" s="8" t="s">
        <v>256</v>
      </c>
      <c r="G138" s="8" t="s">
        <v>34</v>
      </c>
      <c r="H138" s="8" t="s">
        <v>27</v>
      </c>
      <c r="I138" s="8" t="s">
        <v>69</v>
      </c>
      <c r="J138" s="8" t="s">
        <v>70</v>
      </c>
      <c r="K138" s="8" t="s">
        <v>30</v>
      </c>
      <c r="L138" s="8" t="s">
        <v>70</v>
      </c>
      <c r="M138" s="8" t="s">
        <v>46</v>
      </c>
      <c r="N138" s="8" t="s">
        <v>219</v>
      </c>
      <c r="O138" s="1" t="str">
        <f>VLOOKUP(C138,[1]Sheet2!A:C,2,FALSE)</f>
        <v>补宝-物流服务</v>
      </c>
      <c r="P138" s="1" t="str">
        <f>VLOOKUP(C138,[1]Sheet2!G:H,2,FALSE)</f>
        <v>186****6788</v>
      </c>
      <c r="Q138" s="12" t="s">
        <v>48</v>
      </c>
    </row>
    <row r="139" s="1" customFormat="1" spans="1:17">
      <c r="A139" s="8" t="s">
        <v>300</v>
      </c>
      <c r="B139" s="8" t="s">
        <v>294</v>
      </c>
      <c r="C139" s="8" t="s">
        <v>258</v>
      </c>
      <c r="D139" s="8" t="s">
        <v>45</v>
      </c>
      <c r="E139" s="8" t="s">
        <v>45</v>
      </c>
      <c r="F139" s="8" t="s">
        <v>46</v>
      </c>
      <c r="G139" s="8" t="s">
        <v>34</v>
      </c>
      <c r="H139" s="8" t="s">
        <v>27</v>
      </c>
      <c r="I139" s="8" t="s">
        <v>69</v>
      </c>
      <c r="J139" s="8" t="s">
        <v>70</v>
      </c>
      <c r="K139" s="8" t="s">
        <v>30</v>
      </c>
      <c r="L139" s="8" t="s">
        <v>70</v>
      </c>
      <c r="M139" s="8" t="s">
        <v>46</v>
      </c>
      <c r="N139" s="8" t="s">
        <v>71</v>
      </c>
      <c r="O139" s="1" t="str">
        <f>VLOOKUP(C139,[1]Sheet2!A:C,2,FALSE)</f>
        <v>取宝-物流服务</v>
      </c>
      <c r="P139" s="1" t="str">
        <f>VLOOKUP(C139,[1]Sheet2!G:H,2,FALSE)</f>
        <v>186****6788</v>
      </c>
      <c r="Q139" s="12" t="s">
        <v>48</v>
      </c>
    </row>
    <row r="140" s="1" customFormat="1" spans="1:17">
      <c r="A140" s="8" t="s">
        <v>301</v>
      </c>
      <c r="B140" s="8" t="s">
        <v>294</v>
      </c>
      <c r="C140" s="8" t="s">
        <v>261</v>
      </c>
      <c r="D140" s="8" t="s">
        <v>45</v>
      </c>
      <c r="E140" s="8" t="s">
        <v>45</v>
      </c>
      <c r="F140" s="8" t="s">
        <v>262</v>
      </c>
      <c r="G140" s="8" t="s">
        <v>34</v>
      </c>
      <c r="H140" s="8" t="s">
        <v>27</v>
      </c>
      <c r="I140" s="8" t="s">
        <v>69</v>
      </c>
      <c r="J140" s="8" t="s">
        <v>70</v>
      </c>
      <c r="K140" s="8" t="s">
        <v>30</v>
      </c>
      <c r="L140" s="8" t="s">
        <v>70</v>
      </c>
      <c r="M140" s="8" t="s">
        <v>46</v>
      </c>
      <c r="N140" s="8" t="s">
        <v>219</v>
      </c>
      <c r="O140" s="1" t="str">
        <f>VLOOKUP(C140,[1]Sheet2!A:C,2,FALSE)</f>
        <v>补宝-物流服务</v>
      </c>
      <c r="P140" s="1" t="str">
        <f>VLOOKUP(C140,[1]Sheet2!G:H,2,FALSE)</f>
        <v>186****6788</v>
      </c>
      <c r="Q140" s="12" t="s">
        <v>48</v>
      </c>
    </row>
    <row r="141" s="1" customFormat="1" spans="1:17">
      <c r="A141" s="8" t="s">
        <v>302</v>
      </c>
      <c r="B141" s="8" t="s">
        <v>294</v>
      </c>
      <c r="C141" s="8" t="s">
        <v>264</v>
      </c>
      <c r="D141" s="8" t="s">
        <v>45</v>
      </c>
      <c r="E141" s="8" t="s">
        <v>45</v>
      </c>
      <c r="F141" s="8" t="s">
        <v>265</v>
      </c>
      <c r="G141" s="8" t="s">
        <v>34</v>
      </c>
      <c r="H141" s="8" t="s">
        <v>27</v>
      </c>
      <c r="I141" s="8" t="s">
        <v>69</v>
      </c>
      <c r="J141" s="8" t="s">
        <v>70</v>
      </c>
      <c r="K141" s="8" t="s">
        <v>30</v>
      </c>
      <c r="L141" s="8" t="s">
        <v>70</v>
      </c>
      <c r="M141" s="8" t="s">
        <v>46</v>
      </c>
      <c r="N141" s="8" t="s">
        <v>219</v>
      </c>
      <c r="O141" s="1" t="str">
        <f>VLOOKUP(C141,[1]Sheet2!A:C,2,FALSE)</f>
        <v>补宝-物流服务</v>
      </c>
      <c r="P141" s="1" t="str">
        <f>VLOOKUP(C141,[1]Sheet2!G:H,2,FALSE)</f>
        <v>186****6788</v>
      </c>
      <c r="Q141" s="12" t="s">
        <v>48</v>
      </c>
    </row>
    <row r="142" s="1" customFormat="1" spans="1:17">
      <c r="A142" s="8" t="s">
        <v>303</v>
      </c>
      <c r="B142" s="8" t="s">
        <v>294</v>
      </c>
      <c r="C142" s="8" t="s">
        <v>304</v>
      </c>
      <c r="D142" s="8" t="s">
        <v>305</v>
      </c>
      <c r="E142" s="8" t="s">
        <v>45</v>
      </c>
      <c r="F142" s="8" t="s">
        <v>89</v>
      </c>
      <c r="G142" s="8" t="s">
        <v>26</v>
      </c>
      <c r="H142" s="8" t="s">
        <v>27</v>
      </c>
      <c r="I142" s="8" t="s">
        <v>28</v>
      </c>
      <c r="J142" s="8" t="s">
        <v>113</v>
      </c>
      <c r="K142" s="8" t="s">
        <v>30</v>
      </c>
      <c r="L142" s="8" t="s">
        <v>113</v>
      </c>
      <c r="M142" s="8" t="s">
        <v>90</v>
      </c>
      <c r="N142" s="8" t="s">
        <v>31</v>
      </c>
      <c r="O142" s="1" t="str">
        <f>VLOOKUP(C142,[1]Sheet2!A:C,2,FALSE)</f>
        <v>立充充电宝取机柜-仅服务</v>
      </c>
      <c r="P142" s="1" t="str">
        <f>VLOOKUP(C142,[1]Sheet2!G:H,2,FALSE)</f>
        <v>130****4667</v>
      </c>
      <c r="Q142" s="31" t="s">
        <v>77</v>
      </c>
    </row>
    <row r="143" s="1" customFormat="1" spans="1:17">
      <c r="A143" s="8" t="s">
        <v>306</v>
      </c>
      <c r="B143" s="8" t="s">
        <v>294</v>
      </c>
      <c r="C143" s="8" t="s">
        <v>304</v>
      </c>
      <c r="D143" s="8" t="s">
        <v>305</v>
      </c>
      <c r="E143" s="8" t="s">
        <v>45</v>
      </c>
      <c r="F143" s="8" t="s">
        <v>89</v>
      </c>
      <c r="G143" s="8" t="s">
        <v>34</v>
      </c>
      <c r="H143" s="8" t="s">
        <v>27</v>
      </c>
      <c r="I143" s="8" t="s">
        <v>28</v>
      </c>
      <c r="J143" s="8" t="s">
        <v>35</v>
      </c>
      <c r="K143" s="8" t="s">
        <v>30</v>
      </c>
      <c r="L143" s="8" t="s">
        <v>35</v>
      </c>
      <c r="M143" s="8" t="s">
        <v>90</v>
      </c>
      <c r="N143" s="8" t="s">
        <v>36</v>
      </c>
      <c r="O143" s="1" t="str">
        <f>VLOOKUP(C143,[1]Sheet2!A:C,2,FALSE)</f>
        <v>立充充电宝取机柜-仅服务</v>
      </c>
      <c r="P143" s="1" t="str">
        <f>VLOOKUP(C143,[1]Sheet2!G:H,2,FALSE)</f>
        <v>130****4667</v>
      </c>
      <c r="Q143" s="31" t="s">
        <v>77</v>
      </c>
    </row>
    <row r="144" s="1" customFormat="1" spans="1:17">
      <c r="A144" s="8" t="s">
        <v>307</v>
      </c>
      <c r="B144" s="8" t="s">
        <v>294</v>
      </c>
      <c r="C144" s="8" t="s">
        <v>308</v>
      </c>
      <c r="D144" s="8" t="s">
        <v>305</v>
      </c>
      <c r="E144" s="8" t="s">
        <v>45</v>
      </c>
      <c r="F144" s="8" t="s">
        <v>89</v>
      </c>
      <c r="G144" s="8" t="s">
        <v>186</v>
      </c>
      <c r="H144" s="8" t="s">
        <v>27</v>
      </c>
      <c r="I144" s="8" t="s">
        <v>28</v>
      </c>
      <c r="J144" s="8" t="s">
        <v>95</v>
      </c>
      <c r="K144" s="8" t="s">
        <v>30</v>
      </c>
      <c r="L144" s="8" t="s">
        <v>95</v>
      </c>
      <c r="M144" s="8" t="s">
        <v>90</v>
      </c>
      <c r="N144" s="8" t="s">
        <v>31</v>
      </c>
      <c r="O144" s="1" t="str">
        <f>VLOOKUP(C144,[1]Sheet2!A:C,2,FALSE)</f>
        <v>立充充电宝取机柜-仅服务</v>
      </c>
      <c r="P144" s="1" t="str">
        <f>VLOOKUP(C144,[1]Sheet2!G:H,2,FALSE)</f>
        <v>130****4667</v>
      </c>
      <c r="Q144" s="31" t="s">
        <v>77</v>
      </c>
    </row>
    <row r="145" s="1" customFormat="1" spans="1:17">
      <c r="A145" s="8" t="s">
        <v>309</v>
      </c>
      <c r="B145" s="8" t="s">
        <v>294</v>
      </c>
      <c r="C145" s="8" t="s">
        <v>308</v>
      </c>
      <c r="D145" s="8" t="s">
        <v>305</v>
      </c>
      <c r="E145" s="8" t="s">
        <v>45</v>
      </c>
      <c r="F145" s="8" t="s">
        <v>89</v>
      </c>
      <c r="G145" s="8" t="s">
        <v>34</v>
      </c>
      <c r="H145" s="8" t="s">
        <v>27</v>
      </c>
      <c r="I145" s="8" t="s">
        <v>28</v>
      </c>
      <c r="J145" s="8" t="s">
        <v>42</v>
      </c>
      <c r="K145" s="8" t="s">
        <v>30</v>
      </c>
      <c r="L145" s="8" t="s">
        <v>42</v>
      </c>
      <c r="M145" s="8" t="s">
        <v>90</v>
      </c>
      <c r="N145" s="8" t="s">
        <v>36</v>
      </c>
      <c r="O145" s="1" t="str">
        <f>VLOOKUP(C145,[1]Sheet2!A:C,2,FALSE)</f>
        <v>立充充电宝取机柜-仅服务</v>
      </c>
      <c r="P145" s="1" t="str">
        <f>VLOOKUP(C145,[1]Sheet2!G:H,2,FALSE)</f>
        <v>130****4667</v>
      </c>
      <c r="Q145" s="31" t="s">
        <v>77</v>
      </c>
    </row>
    <row r="146" s="1" customFormat="1" spans="1:17">
      <c r="A146" s="8" t="s">
        <v>310</v>
      </c>
      <c r="B146" s="8" t="s">
        <v>294</v>
      </c>
      <c r="C146" s="8" t="s">
        <v>267</v>
      </c>
      <c r="D146" s="8" t="s">
        <v>45</v>
      </c>
      <c r="E146" s="8" t="s">
        <v>45</v>
      </c>
      <c r="F146" s="8" t="s">
        <v>268</v>
      </c>
      <c r="G146" s="8" t="s">
        <v>34</v>
      </c>
      <c r="H146" s="8" t="s">
        <v>27</v>
      </c>
      <c r="I146" s="8" t="s">
        <v>69</v>
      </c>
      <c r="J146" s="8" t="s">
        <v>70</v>
      </c>
      <c r="K146" s="8" t="s">
        <v>30</v>
      </c>
      <c r="L146" s="8" t="s">
        <v>70</v>
      </c>
      <c r="M146" s="8" t="s">
        <v>46</v>
      </c>
      <c r="N146" s="8" t="s">
        <v>219</v>
      </c>
      <c r="O146" s="1" t="str">
        <f>VLOOKUP(C146,[1]Sheet2!A:C,2,FALSE)</f>
        <v>补宝-物流服务</v>
      </c>
      <c r="P146" s="1" t="str">
        <f>VLOOKUP(C146,[1]Sheet2!G:H,2,FALSE)</f>
        <v>186****6788</v>
      </c>
      <c r="Q146" s="12" t="s">
        <v>48</v>
      </c>
    </row>
    <row r="147" s="1" customFormat="1" spans="1:17">
      <c r="A147" s="8" t="s">
        <v>311</v>
      </c>
      <c r="B147" s="8" t="s">
        <v>294</v>
      </c>
      <c r="C147" s="8" t="s">
        <v>276</v>
      </c>
      <c r="D147" s="8" t="s">
        <v>277</v>
      </c>
      <c r="E147" s="8" t="s">
        <v>278</v>
      </c>
      <c r="F147" s="8" t="s">
        <v>279</v>
      </c>
      <c r="G147" s="8" t="s">
        <v>34</v>
      </c>
      <c r="H147" s="8" t="s">
        <v>27</v>
      </c>
      <c r="I147" s="8" t="s">
        <v>69</v>
      </c>
      <c r="J147" s="8" t="s">
        <v>84</v>
      </c>
      <c r="K147" s="8" t="s">
        <v>30</v>
      </c>
      <c r="L147" s="8" t="s">
        <v>84</v>
      </c>
      <c r="M147" s="8" t="s">
        <v>280</v>
      </c>
      <c r="N147" s="8" t="s">
        <v>71</v>
      </c>
      <c r="O147" s="1" t="str">
        <f>VLOOKUP(C147,[1]Sheet2!A:C,2,FALSE)</f>
        <v>立充充电宝取机柜-物流服务</v>
      </c>
      <c r="P147" s="1" t="str">
        <f>VLOOKUP(C147,[1]Sheet2!G:H,2,FALSE)</f>
        <v>136****7868</v>
      </c>
      <c r="Q147" s="31" t="s">
        <v>281</v>
      </c>
    </row>
    <row r="148" s="1" customFormat="1" spans="1:17">
      <c r="A148" s="8" t="s">
        <v>312</v>
      </c>
      <c r="B148" s="8" t="s">
        <v>294</v>
      </c>
      <c r="C148" s="8" t="s">
        <v>270</v>
      </c>
      <c r="D148" s="8" t="s">
        <v>45</v>
      </c>
      <c r="E148" s="8" t="s">
        <v>45</v>
      </c>
      <c r="F148" s="8" t="s">
        <v>268</v>
      </c>
      <c r="G148" s="8" t="s">
        <v>34</v>
      </c>
      <c r="H148" s="8" t="s">
        <v>27</v>
      </c>
      <c r="I148" s="8" t="s">
        <v>69</v>
      </c>
      <c r="J148" s="8" t="s">
        <v>70</v>
      </c>
      <c r="K148" s="8" t="s">
        <v>30</v>
      </c>
      <c r="L148" s="8" t="s">
        <v>70</v>
      </c>
      <c r="M148" s="8" t="s">
        <v>46</v>
      </c>
      <c r="N148" s="8" t="s">
        <v>219</v>
      </c>
      <c r="O148" s="1" t="str">
        <f>VLOOKUP(C148,[1]Sheet2!A:C,2,FALSE)</f>
        <v>补宝-物流服务</v>
      </c>
      <c r="P148" s="1" t="str">
        <f>VLOOKUP(C148,[1]Sheet2!G:H,2,FALSE)</f>
        <v>186****6788</v>
      </c>
      <c r="Q148" s="12" t="s">
        <v>48</v>
      </c>
    </row>
    <row r="149" s="1" customFormat="1" spans="1:17">
      <c r="A149" s="8" t="s">
        <v>313</v>
      </c>
      <c r="B149" s="8" t="s">
        <v>294</v>
      </c>
      <c r="C149" s="8" t="s">
        <v>272</v>
      </c>
      <c r="D149" s="8" t="s">
        <v>45</v>
      </c>
      <c r="E149" s="8" t="s">
        <v>45</v>
      </c>
      <c r="F149" s="8" t="s">
        <v>273</v>
      </c>
      <c r="G149" s="8" t="s">
        <v>34</v>
      </c>
      <c r="H149" s="8" t="s">
        <v>27</v>
      </c>
      <c r="I149" s="8" t="s">
        <v>69</v>
      </c>
      <c r="J149" s="8" t="s">
        <v>70</v>
      </c>
      <c r="K149" s="8" t="s">
        <v>30</v>
      </c>
      <c r="L149" s="8" t="s">
        <v>70</v>
      </c>
      <c r="M149" s="8" t="s">
        <v>46</v>
      </c>
      <c r="N149" s="8" t="s">
        <v>219</v>
      </c>
      <c r="O149" s="1" t="str">
        <f>VLOOKUP(C149,[1]Sheet2!A:C,2,FALSE)</f>
        <v>补宝-物流服务</v>
      </c>
      <c r="P149" s="1" t="str">
        <f>VLOOKUP(C149,[1]Sheet2!G:H,2,FALSE)</f>
        <v>186****6788</v>
      </c>
      <c r="Q149" s="12" t="s">
        <v>48</v>
      </c>
    </row>
    <row r="150" s="1" customFormat="1" spans="1:17">
      <c r="A150" s="8" t="s">
        <v>314</v>
      </c>
      <c r="B150" s="8" t="s">
        <v>294</v>
      </c>
      <c r="C150" s="8" t="s">
        <v>315</v>
      </c>
      <c r="D150" s="8" t="s">
        <v>277</v>
      </c>
      <c r="E150" s="8" t="s">
        <v>277</v>
      </c>
      <c r="F150" s="8" t="s">
        <v>316</v>
      </c>
      <c r="G150" s="8" t="s">
        <v>26</v>
      </c>
      <c r="H150" s="8" t="s">
        <v>27</v>
      </c>
      <c r="I150" s="8" t="s">
        <v>28</v>
      </c>
      <c r="J150" s="8" t="s">
        <v>29</v>
      </c>
      <c r="K150" s="8" t="s">
        <v>30</v>
      </c>
      <c r="L150" s="8" t="s">
        <v>29</v>
      </c>
      <c r="M150" s="8" t="s">
        <v>317</v>
      </c>
      <c r="N150" s="8" t="s">
        <v>31</v>
      </c>
      <c r="O150" s="1" t="str">
        <f>VLOOKUP(C150,[1]Sheet2!A:C,2,FALSE)</f>
        <v>取宝-仅物流</v>
      </c>
      <c r="P150" s="1" t="str">
        <f>VLOOKUP(C150,[1]Sheet2!G:H,2,FALSE)</f>
        <v>165****7666</v>
      </c>
      <c r="Q150" s="31" t="s">
        <v>318</v>
      </c>
    </row>
    <row r="151" s="1" customFormat="1" spans="1:17">
      <c r="A151" s="8" t="s">
        <v>319</v>
      </c>
      <c r="B151" s="8" t="s">
        <v>294</v>
      </c>
      <c r="C151" s="8" t="s">
        <v>315</v>
      </c>
      <c r="D151" s="8" t="s">
        <v>277</v>
      </c>
      <c r="E151" s="8" t="s">
        <v>277</v>
      </c>
      <c r="F151" s="8" t="s">
        <v>316</v>
      </c>
      <c r="G151" s="8" t="s">
        <v>34</v>
      </c>
      <c r="H151" s="8" t="s">
        <v>27</v>
      </c>
      <c r="I151" s="8" t="s">
        <v>28</v>
      </c>
      <c r="J151" s="8" t="s">
        <v>55</v>
      </c>
      <c r="K151" s="8" t="s">
        <v>30</v>
      </c>
      <c r="L151" s="8" t="s">
        <v>55</v>
      </c>
      <c r="M151" s="8" t="s">
        <v>317</v>
      </c>
      <c r="N151" s="8" t="s">
        <v>36</v>
      </c>
      <c r="O151" s="1" t="str">
        <f>VLOOKUP(C151,[1]Sheet2!A:C,2,FALSE)</f>
        <v>取宝-仅物流</v>
      </c>
      <c r="P151" s="1" t="str">
        <f>VLOOKUP(C151,[1]Sheet2!G:H,2,FALSE)</f>
        <v>165****7666</v>
      </c>
      <c r="Q151" s="31" t="s">
        <v>318</v>
      </c>
    </row>
    <row r="152" s="1" customFormat="1" spans="1:17">
      <c r="A152" s="8" t="s">
        <v>320</v>
      </c>
      <c r="B152" s="8" t="s">
        <v>294</v>
      </c>
      <c r="C152" s="8" t="s">
        <v>321</v>
      </c>
      <c r="D152" s="8" t="s">
        <v>277</v>
      </c>
      <c r="E152" s="8" t="s">
        <v>277</v>
      </c>
      <c r="F152" s="8" t="s">
        <v>316</v>
      </c>
      <c r="G152" s="8" t="s">
        <v>26</v>
      </c>
      <c r="H152" s="8" t="s">
        <v>27</v>
      </c>
      <c r="I152" s="8" t="s">
        <v>28</v>
      </c>
      <c r="J152" s="8" t="s">
        <v>29</v>
      </c>
      <c r="K152" s="8" t="s">
        <v>30</v>
      </c>
      <c r="L152" s="8" t="s">
        <v>29</v>
      </c>
      <c r="M152" s="8" t="s">
        <v>317</v>
      </c>
      <c r="N152" s="8" t="s">
        <v>31</v>
      </c>
      <c r="O152" s="1" t="str">
        <f>VLOOKUP(C152,[1]Sheet2!A:C,2,FALSE)</f>
        <v>取宝-仅物流</v>
      </c>
      <c r="P152" s="1" t="str">
        <f>VLOOKUP(C152,[1]Sheet2!G:H,2,FALSE)</f>
        <v>165****7666</v>
      </c>
      <c r="Q152" s="31" t="s">
        <v>318</v>
      </c>
    </row>
    <row r="153" s="1" customFormat="1" spans="1:17">
      <c r="A153" s="8" t="s">
        <v>322</v>
      </c>
      <c r="B153" s="8" t="s">
        <v>294</v>
      </c>
      <c r="C153" s="8" t="s">
        <v>321</v>
      </c>
      <c r="D153" s="8" t="s">
        <v>277</v>
      </c>
      <c r="E153" s="8" t="s">
        <v>277</v>
      </c>
      <c r="F153" s="8" t="s">
        <v>316</v>
      </c>
      <c r="G153" s="8" t="s">
        <v>34</v>
      </c>
      <c r="H153" s="8" t="s">
        <v>27</v>
      </c>
      <c r="I153" s="8" t="s">
        <v>28</v>
      </c>
      <c r="J153" s="8" t="s">
        <v>55</v>
      </c>
      <c r="K153" s="8" t="s">
        <v>30</v>
      </c>
      <c r="L153" s="8" t="s">
        <v>55</v>
      </c>
      <c r="M153" s="8" t="s">
        <v>317</v>
      </c>
      <c r="N153" s="8" t="s">
        <v>36</v>
      </c>
      <c r="O153" s="1" t="str">
        <f>VLOOKUP(C153,[1]Sheet2!A:C,2,FALSE)</f>
        <v>取宝-仅物流</v>
      </c>
      <c r="P153" s="1" t="str">
        <f>VLOOKUP(C153,[1]Sheet2!G:H,2,FALSE)</f>
        <v>165****7666</v>
      </c>
      <c r="Q153" s="31" t="s">
        <v>318</v>
      </c>
    </row>
    <row r="154" s="1" customFormat="1" spans="1:17">
      <c r="A154" s="8" t="s">
        <v>323</v>
      </c>
      <c r="B154" s="8" t="s">
        <v>294</v>
      </c>
      <c r="C154" s="8" t="s">
        <v>324</v>
      </c>
      <c r="D154" s="8" t="s">
        <v>277</v>
      </c>
      <c r="E154" s="8" t="s">
        <v>277</v>
      </c>
      <c r="F154" s="8" t="s">
        <v>316</v>
      </c>
      <c r="G154" s="8" t="s">
        <v>325</v>
      </c>
      <c r="H154" s="8" t="s">
        <v>27</v>
      </c>
      <c r="I154" s="8" t="s">
        <v>28</v>
      </c>
      <c r="J154" s="8" t="s">
        <v>95</v>
      </c>
      <c r="K154" s="8" t="s">
        <v>30</v>
      </c>
      <c r="L154" s="8" t="s">
        <v>95</v>
      </c>
      <c r="M154" s="8" t="s">
        <v>317</v>
      </c>
      <c r="N154" s="8" t="s">
        <v>31</v>
      </c>
      <c r="O154" s="1" t="str">
        <f>VLOOKUP(C154,[1]Sheet2!A:C,2,FALSE)</f>
        <v>立充充电宝取机柜-仅服务</v>
      </c>
      <c r="P154" s="1" t="str">
        <f>VLOOKUP(C154,[1]Sheet2!G:H,2,FALSE)</f>
        <v>165****7666</v>
      </c>
      <c r="Q154" s="31" t="s">
        <v>318</v>
      </c>
    </row>
    <row r="155" s="1" customFormat="1" spans="1:17">
      <c r="A155" s="8" t="s">
        <v>326</v>
      </c>
      <c r="B155" s="8" t="s">
        <v>294</v>
      </c>
      <c r="C155" s="8" t="s">
        <v>324</v>
      </c>
      <c r="D155" s="8" t="s">
        <v>277</v>
      </c>
      <c r="E155" s="8" t="s">
        <v>277</v>
      </c>
      <c r="F155" s="8" t="s">
        <v>316</v>
      </c>
      <c r="G155" s="8" t="s">
        <v>34</v>
      </c>
      <c r="H155" s="8" t="s">
        <v>27</v>
      </c>
      <c r="I155" s="8" t="s">
        <v>28</v>
      </c>
      <c r="J155" s="8" t="s">
        <v>97</v>
      </c>
      <c r="K155" s="8" t="s">
        <v>30</v>
      </c>
      <c r="L155" s="8" t="s">
        <v>97</v>
      </c>
      <c r="M155" s="8" t="s">
        <v>317</v>
      </c>
      <c r="N155" s="8" t="s">
        <v>36</v>
      </c>
      <c r="O155" s="1" t="str">
        <f>VLOOKUP(C155,[1]Sheet2!A:C,2,FALSE)</f>
        <v>立充充电宝取机柜-仅服务</v>
      </c>
      <c r="P155" s="1" t="str">
        <f>VLOOKUP(C155,[1]Sheet2!G:H,2,FALSE)</f>
        <v>165****7666</v>
      </c>
      <c r="Q155" s="31" t="s">
        <v>318</v>
      </c>
    </row>
    <row r="156" s="1" customFormat="1" spans="1:17">
      <c r="A156" s="8" t="s">
        <v>327</v>
      </c>
      <c r="B156" s="8" t="s">
        <v>294</v>
      </c>
      <c r="C156" s="8" t="s">
        <v>328</v>
      </c>
      <c r="D156" s="8" t="s">
        <v>305</v>
      </c>
      <c r="E156" s="8" t="s">
        <v>45</v>
      </c>
      <c r="F156" s="8" t="s">
        <v>89</v>
      </c>
      <c r="G156" s="8" t="s">
        <v>26</v>
      </c>
      <c r="H156" s="8" t="s">
        <v>27</v>
      </c>
      <c r="I156" s="8" t="s">
        <v>28</v>
      </c>
      <c r="J156" s="8" t="s">
        <v>113</v>
      </c>
      <c r="K156" s="8" t="s">
        <v>30</v>
      </c>
      <c r="L156" s="8" t="s">
        <v>113</v>
      </c>
      <c r="M156" s="8" t="s">
        <v>90</v>
      </c>
      <c r="N156" s="8" t="s">
        <v>31</v>
      </c>
      <c r="O156" s="1" t="str">
        <f>VLOOKUP(C156,[1]Sheet2!A:C,2,FALSE)</f>
        <v>立充充电宝取机柜-仅服务</v>
      </c>
      <c r="P156" s="1" t="str">
        <f>VLOOKUP(C156,[1]Sheet2!G:H,2,FALSE)</f>
        <v>130****4667</v>
      </c>
      <c r="Q156" s="31" t="s">
        <v>77</v>
      </c>
    </row>
    <row r="157" s="1" customFormat="1" spans="1:17">
      <c r="A157" s="8" t="s">
        <v>329</v>
      </c>
      <c r="B157" s="8" t="s">
        <v>294</v>
      </c>
      <c r="C157" s="8" t="s">
        <v>328</v>
      </c>
      <c r="D157" s="8" t="s">
        <v>305</v>
      </c>
      <c r="E157" s="8" t="s">
        <v>45</v>
      </c>
      <c r="F157" s="8" t="s">
        <v>89</v>
      </c>
      <c r="G157" s="8" t="s">
        <v>34</v>
      </c>
      <c r="H157" s="8" t="s">
        <v>27</v>
      </c>
      <c r="I157" s="8" t="s">
        <v>28</v>
      </c>
      <c r="J157" s="8" t="s">
        <v>35</v>
      </c>
      <c r="K157" s="8" t="s">
        <v>30</v>
      </c>
      <c r="L157" s="8" t="s">
        <v>35</v>
      </c>
      <c r="M157" s="8" t="s">
        <v>90</v>
      </c>
      <c r="N157" s="8" t="s">
        <v>36</v>
      </c>
      <c r="O157" s="1" t="str">
        <f>VLOOKUP(C157,[1]Sheet2!A:C,2,FALSE)</f>
        <v>立充充电宝取机柜-仅服务</v>
      </c>
      <c r="P157" s="1" t="str">
        <f>VLOOKUP(C157,[1]Sheet2!G:H,2,FALSE)</f>
        <v>130****4667</v>
      </c>
      <c r="Q157" s="31" t="s">
        <v>77</v>
      </c>
    </row>
    <row r="158" s="1" customFormat="1" spans="1:17">
      <c r="A158" s="8" t="s">
        <v>330</v>
      </c>
      <c r="B158" s="8" t="s">
        <v>294</v>
      </c>
      <c r="C158" s="8" t="s">
        <v>331</v>
      </c>
      <c r="D158" s="8" t="s">
        <v>45</v>
      </c>
      <c r="E158" s="8" t="s">
        <v>45</v>
      </c>
      <c r="F158" s="8" t="s">
        <v>46</v>
      </c>
      <c r="G158" s="8" t="s">
        <v>26</v>
      </c>
      <c r="H158" s="8" t="s">
        <v>27</v>
      </c>
      <c r="I158" s="8" t="s">
        <v>28</v>
      </c>
      <c r="J158" s="8" t="s">
        <v>47</v>
      </c>
      <c r="K158" s="8" t="s">
        <v>30</v>
      </c>
      <c r="L158" s="8" t="s">
        <v>47</v>
      </c>
      <c r="M158" s="8" t="s">
        <v>46</v>
      </c>
      <c r="N158" s="8" t="s">
        <v>31</v>
      </c>
      <c r="O158" s="1" t="str">
        <f>VLOOKUP(C158,[1]Sheet2!A:C,2,FALSE)</f>
        <v>立充充电宝取机柜-物流服务</v>
      </c>
      <c r="P158" s="1" t="str">
        <f>VLOOKUP(C158,[1]Sheet2!G:H,2,FALSE)</f>
        <v>186****6788</v>
      </c>
      <c r="Q158" s="12" t="s">
        <v>48</v>
      </c>
    </row>
    <row r="159" s="1" customFormat="1" spans="1:17">
      <c r="A159" s="8" t="s">
        <v>332</v>
      </c>
      <c r="B159" s="8" t="s">
        <v>294</v>
      </c>
      <c r="C159" s="8" t="s">
        <v>333</v>
      </c>
      <c r="D159" s="8" t="s">
        <v>45</v>
      </c>
      <c r="E159" s="8" t="s">
        <v>45</v>
      </c>
      <c r="F159" s="8" t="s">
        <v>46</v>
      </c>
      <c r="G159" s="8" t="s">
        <v>26</v>
      </c>
      <c r="H159" s="8" t="s">
        <v>27</v>
      </c>
      <c r="I159" s="8" t="s">
        <v>28</v>
      </c>
      <c r="J159" s="8" t="s">
        <v>47</v>
      </c>
      <c r="K159" s="8" t="s">
        <v>30</v>
      </c>
      <c r="L159" s="8" t="s">
        <v>47</v>
      </c>
      <c r="M159" s="8" t="s">
        <v>46</v>
      </c>
      <c r="N159" s="8" t="s">
        <v>31</v>
      </c>
      <c r="O159" s="1" t="str">
        <f>VLOOKUP(C159,[1]Sheet2!A:C,2,FALSE)</f>
        <v>取宝-物流服务</v>
      </c>
      <c r="P159" s="1" t="str">
        <f>VLOOKUP(C159,[1]Sheet2!G:H,2,FALSE)</f>
        <v>186****6788</v>
      </c>
      <c r="Q159" s="12" t="s">
        <v>48</v>
      </c>
    </row>
    <row r="160" s="1" customFormat="1" spans="1:17">
      <c r="A160" s="8" t="s">
        <v>334</v>
      </c>
      <c r="B160" s="8" t="s">
        <v>294</v>
      </c>
      <c r="C160" s="8" t="s">
        <v>335</v>
      </c>
      <c r="D160" s="8" t="s">
        <v>45</v>
      </c>
      <c r="E160" s="8" t="s">
        <v>45</v>
      </c>
      <c r="F160" s="8" t="s">
        <v>46</v>
      </c>
      <c r="G160" s="8" t="s">
        <v>64</v>
      </c>
      <c r="H160" s="8" t="s">
        <v>27</v>
      </c>
      <c r="I160" s="8" t="s">
        <v>28</v>
      </c>
      <c r="J160" s="8" t="s">
        <v>29</v>
      </c>
      <c r="K160" s="8" t="s">
        <v>30</v>
      </c>
      <c r="L160" s="8" t="s">
        <v>29</v>
      </c>
      <c r="M160" s="8" t="s">
        <v>46</v>
      </c>
      <c r="N160" s="8" t="s">
        <v>31</v>
      </c>
      <c r="O160" s="1" t="str">
        <f>VLOOKUP(C160,[1]Sheet2!A:C,2,FALSE)</f>
        <v>取宝-物流服务</v>
      </c>
      <c r="P160" s="1" t="str">
        <f>VLOOKUP(C160,[1]Sheet2!G:H,2,FALSE)</f>
        <v>186****6788</v>
      </c>
      <c r="Q160" s="12" t="s">
        <v>48</v>
      </c>
    </row>
    <row r="161" s="1" customFormat="1" spans="1:17">
      <c r="A161" s="8" t="s">
        <v>336</v>
      </c>
      <c r="B161" s="8" t="s">
        <v>294</v>
      </c>
      <c r="C161" s="8" t="s">
        <v>335</v>
      </c>
      <c r="D161" s="8" t="s">
        <v>45</v>
      </c>
      <c r="E161" s="8" t="s">
        <v>45</v>
      </c>
      <c r="F161" s="8" t="s">
        <v>46</v>
      </c>
      <c r="G161" s="8" t="s">
        <v>34</v>
      </c>
      <c r="H161" s="8" t="s">
        <v>27</v>
      </c>
      <c r="I161" s="8" t="s">
        <v>28</v>
      </c>
      <c r="J161" s="8" t="s">
        <v>97</v>
      </c>
      <c r="K161" s="8" t="s">
        <v>30</v>
      </c>
      <c r="L161" s="8" t="s">
        <v>97</v>
      </c>
      <c r="M161" s="8" t="s">
        <v>46</v>
      </c>
      <c r="N161" s="8" t="s">
        <v>36</v>
      </c>
      <c r="O161" s="1" t="str">
        <f>VLOOKUP(C161,[1]Sheet2!A:C,2,FALSE)</f>
        <v>取宝-物流服务</v>
      </c>
      <c r="P161" s="1" t="str">
        <f>VLOOKUP(C161,[1]Sheet2!G:H,2,FALSE)</f>
        <v>186****6788</v>
      </c>
      <c r="Q161" s="12" t="s">
        <v>48</v>
      </c>
    </row>
    <row r="162" s="1" customFormat="1" spans="1:17">
      <c r="A162" s="8" t="s">
        <v>337</v>
      </c>
      <c r="B162" s="8" t="s">
        <v>338</v>
      </c>
      <c r="C162" s="8" t="s">
        <v>339</v>
      </c>
      <c r="D162" s="8" t="s">
        <v>45</v>
      </c>
      <c r="E162" s="8" t="s">
        <v>45</v>
      </c>
      <c r="F162" s="8" t="s">
        <v>340</v>
      </c>
      <c r="G162" s="8" t="s">
        <v>26</v>
      </c>
      <c r="H162" s="8" t="s">
        <v>27</v>
      </c>
      <c r="I162" s="8" t="s">
        <v>28</v>
      </c>
      <c r="J162" s="8" t="s">
        <v>47</v>
      </c>
      <c r="K162" s="8" t="s">
        <v>30</v>
      </c>
      <c r="L162" s="8" t="s">
        <v>47</v>
      </c>
      <c r="M162" s="8" t="s">
        <v>46</v>
      </c>
      <c r="N162" s="8" t="s">
        <v>31</v>
      </c>
      <c r="O162" s="1" t="str">
        <f>VLOOKUP(C162,[1]Sheet2!A:C,2,FALSE)</f>
        <v>补宝-物流服务</v>
      </c>
      <c r="P162" s="1" t="str">
        <f>VLOOKUP(C162,[1]Sheet2!G:H,2,FALSE)</f>
        <v>186****6788</v>
      </c>
      <c r="Q162" s="12" t="s">
        <v>48</v>
      </c>
    </row>
    <row r="163" s="1" customFormat="1" spans="1:17">
      <c r="A163" s="8" t="s">
        <v>341</v>
      </c>
      <c r="B163" s="8" t="s">
        <v>338</v>
      </c>
      <c r="C163" s="8" t="s">
        <v>342</v>
      </c>
      <c r="D163" s="8" t="s">
        <v>45</v>
      </c>
      <c r="E163" s="8" t="s">
        <v>45</v>
      </c>
      <c r="F163" s="8" t="s">
        <v>343</v>
      </c>
      <c r="G163" s="8" t="s">
        <v>26</v>
      </c>
      <c r="H163" s="8" t="s">
        <v>27</v>
      </c>
      <c r="I163" s="8" t="s">
        <v>28</v>
      </c>
      <c r="J163" s="8" t="s">
        <v>47</v>
      </c>
      <c r="K163" s="8" t="s">
        <v>30</v>
      </c>
      <c r="L163" s="8" t="s">
        <v>47</v>
      </c>
      <c r="M163" s="8" t="s">
        <v>46</v>
      </c>
      <c r="N163" s="8" t="s">
        <v>31</v>
      </c>
      <c r="O163" s="1" t="str">
        <f>VLOOKUP(C163,[1]Sheet2!A:C,2,FALSE)</f>
        <v>补宝-物流服务</v>
      </c>
      <c r="P163" s="1" t="str">
        <f>VLOOKUP(C163,[1]Sheet2!G:H,2,FALSE)</f>
        <v>186****6788</v>
      </c>
      <c r="Q163" s="12" t="s">
        <v>48</v>
      </c>
    </row>
    <row r="164" s="1" customFormat="1" spans="1:17">
      <c r="A164" s="8" t="s">
        <v>344</v>
      </c>
      <c r="B164" s="8" t="s">
        <v>338</v>
      </c>
      <c r="C164" s="8" t="s">
        <v>345</v>
      </c>
      <c r="D164" s="8" t="s">
        <v>45</v>
      </c>
      <c r="E164" s="8" t="s">
        <v>45</v>
      </c>
      <c r="F164" s="8" t="s">
        <v>346</v>
      </c>
      <c r="G164" s="8" t="s">
        <v>26</v>
      </c>
      <c r="H164" s="8" t="s">
        <v>27</v>
      </c>
      <c r="I164" s="8" t="s">
        <v>28</v>
      </c>
      <c r="J164" s="8" t="s">
        <v>47</v>
      </c>
      <c r="K164" s="8" t="s">
        <v>30</v>
      </c>
      <c r="L164" s="8" t="s">
        <v>47</v>
      </c>
      <c r="M164" s="8" t="s">
        <v>46</v>
      </c>
      <c r="N164" s="8" t="s">
        <v>31</v>
      </c>
      <c r="O164" s="1" t="str">
        <f>VLOOKUP(C164,[1]Sheet2!A:C,2,FALSE)</f>
        <v>补宝-物流服务</v>
      </c>
      <c r="P164" s="1" t="str">
        <f>VLOOKUP(C164,[1]Sheet2!G:H,2,FALSE)</f>
        <v>186****6788</v>
      </c>
      <c r="Q164" s="12" t="s">
        <v>48</v>
      </c>
    </row>
    <row r="165" s="1" customFormat="1" spans="1:17">
      <c r="A165" s="8" t="s">
        <v>347</v>
      </c>
      <c r="B165" s="8" t="s">
        <v>338</v>
      </c>
      <c r="C165" s="8" t="s">
        <v>348</v>
      </c>
      <c r="D165" s="8" t="s">
        <v>45</v>
      </c>
      <c r="E165" s="8" t="s">
        <v>45</v>
      </c>
      <c r="F165" s="8" t="s">
        <v>343</v>
      </c>
      <c r="G165" s="8" t="s">
        <v>26</v>
      </c>
      <c r="H165" s="8" t="s">
        <v>27</v>
      </c>
      <c r="I165" s="8" t="s">
        <v>28</v>
      </c>
      <c r="J165" s="8" t="s">
        <v>47</v>
      </c>
      <c r="K165" s="8" t="s">
        <v>30</v>
      </c>
      <c r="L165" s="8" t="s">
        <v>47</v>
      </c>
      <c r="M165" s="8" t="s">
        <v>46</v>
      </c>
      <c r="N165" s="8" t="s">
        <v>31</v>
      </c>
      <c r="O165" s="1" t="str">
        <f>VLOOKUP(C165,[1]Sheet2!A:C,2,FALSE)</f>
        <v>补宝-物流服务</v>
      </c>
      <c r="P165" s="1" t="str">
        <f>VLOOKUP(C165,[1]Sheet2!G:H,2,FALSE)</f>
        <v>186****6788</v>
      </c>
      <c r="Q165" s="12" t="s">
        <v>48</v>
      </c>
    </row>
    <row r="166" s="1" customFormat="1" spans="1:17">
      <c r="A166" s="8" t="s">
        <v>349</v>
      </c>
      <c r="B166" s="8" t="s">
        <v>338</v>
      </c>
      <c r="C166" s="8" t="s">
        <v>331</v>
      </c>
      <c r="D166" s="8" t="s">
        <v>45</v>
      </c>
      <c r="E166" s="8" t="s">
        <v>45</v>
      </c>
      <c r="F166" s="8" t="s">
        <v>46</v>
      </c>
      <c r="G166" s="8" t="s">
        <v>34</v>
      </c>
      <c r="H166" s="8" t="s">
        <v>27</v>
      </c>
      <c r="I166" s="8" t="s">
        <v>69</v>
      </c>
      <c r="J166" s="8" t="s">
        <v>84</v>
      </c>
      <c r="K166" s="8" t="s">
        <v>30</v>
      </c>
      <c r="L166" s="8" t="s">
        <v>84</v>
      </c>
      <c r="M166" s="8" t="s">
        <v>46</v>
      </c>
      <c r="N166" s="8" t="s">
        <v>71</v>
      </c>
      <c r="O166" s="1" t="str">
        <f>VLOOKUP(C166,[1]Sheet2!A:C,2,FALSE)</f>
        <v>立充充电宝取机柜-物流服务</v>
      </c>
      <c r="P166" s="1" t="str">
        <f>VLOOKUP(C166,[1]Sheet2!G:H,2,FALSE)</f>
        <v>186****6788</v>
      </c>
      <c r="Q166" s="12" t="s">
        <v>48</v>
      </c>
    </row>
    <row r="167" s="1" customFormat="1" spans="1:17">
      <c r="A167" s="8" t="s">
        <v>350</v>
      </c>
      <c r="B167" s="8" t="s">
        <v>338</v>
      </c>
      <c r="C167" s="8" t="s">
        <v>333</v>
      </c>
      <c r="D167" s="8" t="s">
        <v>45</v>
      </c>
      <c r="E167" s="8" t="s">
        <v>45</v>
      </c>
      <c r="F167" s="8" t="s">
        <v>46</v>
      </c>
      <c r="G167" s="8" t="s">
        <v>34</v>
      </c>
      <c r="H167" s="8" t="s">
        <v>27</v>
      </c>
      <c r="I167" s="8" t="s">
        <v>69</v>
      </c>
      <c r="J167" s="8" t="s">
        <v>70</v>
      </c>
      <c r="K167" s="8" t="s">
        <v>30</v>
      </c>
      <c r="L167" s="8" t="s">
        <v>70</v>
      </c>
      <c r="M167" s="8" t="s">
        <v>46</v>
      </c>
      <c r="N167" s="8" t="s">
        <v>71</v>
      </c>
      <c r="O167" s="1" t="str">
        <f>VLOOKUP(C167,[1]Sheet2!A:C,2,FALSE)</f>
        <v>取宝-物流服务</v>
      </c>
      <c r="P167" s="1" t="str">
        <f>VLOOKUP(C167,[1]Sheet2!G:H,2,FALSE)</f>
        <v>186****6788</v>
      </c>
      <c r="Q167" s="12" t="s">
        <v>48</v>
      </c>
    </row>
    <row r="168" s="1" customFormat="1" spans="1:17">
      <c r="A168" s="8" t="s">
        <v>351</v>
      </c>
      <c r="B168" s="8" t="s">
        <v>338</v>
      </c>
      <c r="C168" s="8" t="s">
        <v>335</v>
      </c>
      <c r="D168" s="8" t="s">
        <v>45</v>
      </c>
      <c r="E168" s="8" t="s">
        <v>45</v>
      </c>
      <c r="F168" s="8" t="s">
        <v>46</v>
      </c>
      <c r="G168" s="8" t="s">
        <v>34</v>
      </c>
      <c r="H168" s="8" t="s">
        <v>27</v>
      </c>
      <c r="I168" s="8" t="s">
        <v>69</v>
      </c>
      <c r="J168" s="8" t="s">
        <v>70</v>
      </c>
      <c r="K168" s="8" t="s">
        <v>30</v>
      </c>
      <c r="L168" s="8" t="s">
        <v>70</v>
      </c>
      <c r="M168" s="8" t="s">
        <v>46</v>
      </c>
      <c r="N168" s="8" t="s">
        <v>71</v>
      </c>
      <c r="O168" s="1" t="str">
        <f>VLOOKUP(C168,[1]Sheet2!A:C,2,FALSE)</f>
        <v>取宝-物流服务</v>
      </c>
      <c r="P168" s="1" t="str">
        <f>VLOOKUP(C168,[1]Sheet2!G:H,2,FALSE)</f>
        <v>186****6788</v>
      </c>
      <c r="Q168" s="12" t="s">
        <v>48</v>
      </c>
    </row>
    <row r="169" s="1" customFormat="1" spans="1:17">
      <c r="A169" s="8" t="s">
        <v>352</v>
      </c>
      <c r="B169" s="8" t="s">
        <v>338</v>
      </c>
      <c r="C169" s="8" t="s">
        <v>353</v>
      </c>
      <c r="D169" s="8" t="s">
        <v>45</v>
      </c>
      <c r="E169" s="8" t="s">
        <v>45</v>
      </c>
      <c r="F169" s="8" t="s">
        <v>46</v>
      </c>
      <c r="G169" s="8" t="s">
        <v>26</v>
      </c>
      <c r="H169" s="8" t="s">
        <v>27</v>
      </c>
      <c r="I169" s="8" t="s">
        <v>28</v>
      </c>
      <c r="J169" s="8" t="s">
        <v>47</v>
      </c>
      <c r="K169" s="8" t="s">
        <v>30</v>
      </c>
      <c r="L169" s="8" t="s">
        <v>47</v>
      </c>
      <c r="M169" s="8" t="s">
        <v>46</v>
      </c>
      <c r="N169" s="8" t="s">
        <v>31</v>
      </c>
      <c r="O169" s="1" t="str">
        <f>VLOOKUP(C169,[1]Sheet2!A:C,2,FALSE)</f>
        <v>取宝-物流服务</v>
      </c>
      <c r="P169" s="1" t="str">
        <f>VLOOKUP(C169,[1]Sheet2!G:H,2,FALSE)</f>
        <v>186****6788</v>
      </c>
      <c r="Q169" s="12" t="s">
        <v>48</v>
      </c>
    </row>
    <row r="170" s="1" customFormat="1" spans="1:17">
      <c r="A170" s="8" t="s">
        <v>354</v>
      </c>
      <c r="B170" s="8" t="s">
        <v>338</v>
      </c>
      <c r="C170" s="8" t="s">
        <v>353</v>
      </c>
      <c r="D170" s="8" t="s">
        <v>45</v>
      </c>
      <c r="E170" s="8" t="s">
        <v>45</v>
      </c>
      <c r="F170" s="8" t="s">
        <v>46</v>
      </c>
      <c r="G170" s="8" t="s">
        <v>34</v>
      </c>
      <c r="H170" s="8" t="s">
        <v>27</v>
      </c>
      <c r="I170" s="8" t="s">
        <v>28</v>
      </c>
      <c r="J170" s="8" t="s">
        <v>55</v>
      </c>
      <c r="K170" s="8" t="s">
        <v>30</v>
      </c>
      <c r="L170" s="8" t="s">
        <v>55</v>
      </c>
      <c r="M170" s="8" t="s">
        <v>46</v>
      </c>
      <c r="N170" s="8" t="s">
        <v>36</v>
      </c>
      <c r="O170" s="1" t="str">
        <f>VLOOKUP(C170,[1]Sheet2!A:C,2,FALSE)</f>
        <v>取宝-物流服务</v>
      </c>
      <c r="P170" s="1" t="str">
        <f>VLOOKUP(C170,[1]Sheet2!G:H,2,FALSE)</f>
        <v>186****6788</v>
      </c>
      <c r="Q170" s="12" t="s">
        <v>48</v>
      </c>
    </row>
    <row r="171" s="1" customFormat="1" spans="1:17">
      <c r="A171" s="8" t="s">
        <v>355</v>
      </c>
      <c r="B171" s="8" t="s">
        <v>356</v>
      </c>
      <c r="C171" s="8" t="s">
        <v>295</v>
      </c>
      <c r="D171" s="8" t="s">
        <v>45</v>
      </c>
      <c r="E171" s="8" t="s">
        <v>76</v>
      </c>
      <c r="F171" s="8" t="s">
        <v>296</v>
      </c>
      <c r="G171" s="8" t="s">
        <v>34</v>
      </c>
      <c r="H171" s="8" t="s">
        <v>27</v>
      </c>
      <c r="I171" s="8" t="s">
        <v>69</v>
      </c>
      <c r="J171" s="8" t="s">
        <v>70</v>
      </c>
      <c r="K171" s="8" t="s">
        <v>30</v>
      </c>
      <c r="L171" s="8" t="s">
        <v>70</v>
      </c>
      <c r="M171" s="8" t="s">
        <v>78</v>
      </c>
      <c r="N171" s="8" t="s">
        <v>219</v>
      </c>
      <c r="O171" s="1" t="str">
        <f>VLOOKUP(C171,[1]Sheet2!A:C,2,FALSE)</f>
        <v>补宝-物流服务</v>
      </c>
      <c r="P171" s="1" t="str">
        <f>VLOOKUP(C171,[1]Sheet2!G:H,2,FALSE)</f>
        <v>130****4667</v>
      </c>
      <c r="Q171" s="31" t="s">
        <v>77</v>
      </c>
    </row>
    <row r="172" s="1" customFormat="1" spans="1:17">
      <c r="A172" s="8" t="s">
        <v>357</v>
      </c>
      <c r="B172" s="8" t="s">
        <v>356</v>
      </c>
      <c r="C172" s="8" t="s">
        <v>358</v>
      </c>
      <c r="D172" s="8" t="s">
        <v>76</v>
      </c>
      <c r="E172" s="8" t="s">
        <v>359</v>
      </c>
      <c r="F172" s="8" t="s">
        <v>360</v>
      </c>
      <c r="G172" s="8" t="s">
        <v>26</v>
      </c>
      <c r="H172" s="8" t="s">
        <v>27</v>
      </c>
      <c r="I172" s="8" t="s">
        <v>69</v>
      </c>
      <c r="J172" s="8" t="s">
        <v>201</v>
      </c>
      <c r="K172" s="8" t="s">
        <v>30</v>
      </c>
      <c r="L172" s="8" t="s">
        <v>201</v>
      </c>
      <c r="M172" s="8" t="s">
        <v>361</v>
      </c>
      <c r="N172" s="8" t="s">
        <v>31</v>
      </c>
      <c r="O172" s="1" t="str">
        <f>VLOOKUP(C172,[1]Sheet2!A:C,2,FALSE)</f>
        <v>取宝-物流服务</v>
      </c>
      <c r="P172" s="1" t="str">
        <f>VLOOKUP(C172,[1]Sheet2!G:H,2,FALSE)</f>
        <v>134****9085</v>
      </c>
      <c r="Q172" s="31" t="s">
        <v>362</v>
      </c>
    </row>
    <row r="173" s="1" customFormat="1" spans="1:17">
      <c r="A173" s="8" t="s">
        <v>363</v>
      </c>
      <c r="B173" s="8" t="s">
        <v>356</v>
      </c>
      <c r="C173" s="8" t="s">
        <v>364</v>
      </c>
      <c r="D173" s="8" t="s">
        <v>76</v>
      </c>
      <c r="E173" s="8" t="s">
        <v>359</v>
      </c>
      <c r="F173" s="8" t="s">
        <v>360</v>
      </c>
      <c r="G173" s="8" t="s">
        <v>365</v>
      </c>
      <c r="H173" s="8" t="s">
        <v>27</v>
      </c>
      <c r="I173" s="8" t="s">
        <v>69</v>
      </c>
      <c r="J173" s="8" t="s">
        <v>366</v>
      </c>
      <c r="K173" s="8" t="s">
        <v>30</v>
      </c>
      <c r="L173" s="8" t="s">
        <v>366</v>
      </c>
      <c r="M173" s="8" t="s">
        <v>361</v>
      </c>
      <c r="N173" s="8" t="s">
        <v>31</v>
      </c>
      <c r="O173" s="1" t="str">
        <f>VLOOKUP(C173,[1]Sheet2!A:C,2,FALSE)</f>
        <v>立充充电宝取机柜-物流服务</v>
      </c>
      <c r="P173" s="1" t="str">
        <f>VLOOKUP(C173,[1]Sheet2!G:H,2,FALSE)</f>
        <v>134****9085</v>
      </c>
      <c r="Q173" s="31" t="s">
        <v>362</v>
      </c>
    </row>
    <row r="174" s="1" customFormat="1" spans="1:17">
      <c r="A174" s="8" t="s">
        <v>367</v>
      </c>
      <c r="B174" s="8" t="s">
        <v>356</v>
      </c>
      <c r="C174" s="8" t="s">
        <v>368</v>
      </c>
      <c r="D174" s="8" t="s">
        <v>76</v>
      </c>
      <c r="E174" s="8" t="s">
        <v>45</v>
      </c>
      <c r="F174" s="8" t="s">
        <v>89</v>
      </c>
      <c r="G174" s="8" t="s">
        <v>186</v>
      </c>
      <c r="H174" s="8" t="s">
        <v>27</v>
      </c>
      <c r="I174" s="8" t="s">
        <v>28</v>
      </c>
      <c r="J174" s="8" t="s">
        <v>192</v>
      </c>
      <c r="K174" s="8" t="s">
        <v>30</v>
      </c>
      <c r="L174" s="8" t="s">
        <v>192</v>
      </c>
      <c r="M174" s="8" t="s">
        <v>90</v>
      </c>
      <c r="N174" s="8" t="s">
        <v>31</v>
      </c>
      <c r="O174" s="1" t="str">
        <f>VLOOKUP(C174,[1]Sheet2!A:C,2,FALSE)</f>
        <v>立充充电宝取机柜-仅服务</v>
      </c>
      <c r="P174" s="1" t="str">
        <f>VLOOKUP(C174,[1]Sheet2!G:H,2,FALSE)</f>
        <v>130****4667</v>
      </c>
      <c r="Q174" s="31" t="s">
        <v>77</v>
      </c>
    </row>
    <row r="175" s="1" customFormat="1" spans="1:17">
      <c r="A175" s="8" t="s">
        <v>369</v>
      </c>
      <c r="B175" s="8" t="s">
        <v>356</v>
      </c>
      <c r="C175" s="8" t="s">
        <v>370</v>
      </c>
      <c r="D175" s="8" t="s">
        <v>204</v>
      </c>
      <c r="E175" s="8" t="s">
        <v>205</v>
      </c>
      <c r="F175" s="8" t="s">
        <v>209</v>
      </c>
      <c r="G175" s="8" t="s">
        <v>371</v>
      </c>
      <c r="H175" s="8" t="s">
        <v>27</v>
      </c>
      <c r="I175" s="8" t="s">
        <v>28</v>
      </c>
      <c r="J175" s="8" t="s">
        <v>372</v>
      </c>
      <c r="K175" s="8" t="s">
        <v>30</v>
      </c>
      <c r="L175" s="8" t="s">
        <v>372</v>
      </c>
      <c r="M175" s="8" t="s">
        <v>373</v>
      </c>
      <c r="N175" s="8" t="s">
        <v>31</v>
      </c>
      <c r="O175" s="1" t="str">
        <f>VLOOKUP(C175,[1]Sheet2!A:C,2,FALSE)</f>
        <v>立充充电宝取机柜-物流服务</v>
      </c>
      <c r="P175" s="1" t="str">
        <f>VLOOKUP(C175,[1]Sheet2!G:H,2,FALSE)</f>
        <v>131****2614</v>
      </c>
      <c r="Q175" s="31" t="s">
        <v>210</v>
      </c>
    </row>
    <row r="176" s="1" customFormat="1" spans="1:17">
      <c r="A176" s="8" t="s">
        <v>374</v>
      </c>
      <c r="B176" s="8" t="s">
        <v>356</v>
      </c>
      <c r="C176" s="8" t="s">
        <v>370</v>
      </c>
      <c r="D176" s="8" t="s">
        <v>204</v>
      </c>
      <c r="E176" s="8" t="s">
        <v>205</v>
      </c>
      <c r="F176" s="8" t="s">
        <v>209</v>
      </c>
      <c r="G176" s="8" t="s">
        <v>34</v>
      </c>
      <c r="H176" s="8" t="s">
        <v>27</v>
      </c>
      <c r="I176" s="8" t="s">
        <v>28</v>
      </c>
      <c r="J176" s="8" t="s">
        <v>42</v>
      </c>
      <c r="K176" s="8" t="s">
        <v>30</v>
      </c>
      <c r="L176" s="8" t="s">
        <v>42</v>
      </c>
      <c r="M176" s="8" t="s">
        <v>373</v>
      </c>
      <c r="N176" s="8" t="s">
        <v>36</v>
      </c>
      <c r="O176" s="1" t="str">
        <f>VLOOKUP(C176,[1]Sheet2!A:C,2,FALSE)</f>
        <v>立充充电宝取机柜-物流服务</v>
      </c>
      <c r="P176" s="1" t="str">
        <f>VLOOKUP(C176,[1]Sheet2!G:H,2,FALSE)</f>
        <v>131****2614</v>
      </c>
      <c r="Q176" s="31" t="s">
        <v>210</v>
      </c>
    </row>
    <row r="177" s="1" customFormat="1" spans="1:17">
      <c r="A177" s="8" t="s">
        <v>375</v>
      </c>
      <c r="B177" s="8" t="s">
        <v>356</v>
      </c>
      <c r="C177" s="8" t="s">
        <v>376</v>
      </c>
      <c r="D177" s="8" t="s">
        <v>204</v>
      </c>
      <c r="E177" s="8" t="s">
        <v>205</v>
      </c>
      <c r="F177" s="8" t="s">
        <v>209</v>
      </c>
      <c r="G177" s="8" t="s">
        <v>26</v>
      </c>
      <c r="H177" s="8" t="s">
        <v>27</v>
      </c>
      <c r="I177" s="8" t="s">
        <v>28</v>
      </c>
      <c r="J177" s="8" t="s">
        <v>95</v>
      </c>
      <c r="K177" s="8" t="s">
        <v>30</v>
      </c>
      <c r="L177" s="8" t="s">
        <v>95</v>
      </c>
      <c r="M177" s="8" t="s">
        <v>373</v>
      </c>
      <c r="N177" s="8" t="s">
        <v>31</v>
      </c>
      <c r="O177" s="1" t="str">
        <f>VLOOKUP(C177,[1]Sheet2!A:C,2,FALSE)</f>
        <v>立充充电宝取机柜-物流服务</v>
      </c>
      <c r="P177" s="1" t="str">
        <f>VLOOKUP(C177,[1]Sheet2!G:H,2,FALSE)</f>
        <v>131****2614</v>
      </c>
      <c r="Q177" s="31" t="s">
        <v>210</v>
      </c>
    </row>
    <row r="178" s="1" customFormat="1" spans="1:17">
      <c r="A178" s="8" t="s">
        <v>377</v>
      </c>
      <c r="B178" s="8" t="s">
        <v>356</v>
      </c>
      <c r="C178" s="8" t="s">
        <v>376</v>
      </c>
      <c r="D178" s="8" t="s">
        <v>204</v>
      </c>
      <c r="E178" s="8" t="s">
        <v>205</v>
      </c>
      <c r="F178" s="8" t="s">
        <v>209</v>
      </c>
      <c r="G178" s="8" t="s">
        <v>34</v>
      </c>
      <c r="H178" s="8" t="s">
        <v>27</v>
      </c>
      <c r="I178" s="8" t="s">
        <v>28</v>
      </c>
      <c r="J178" s="8" t="s">
        <v>55</v>
      </c>
      <c r="K178" s="8" t="s">
        <v>30</v>
      </c>
      <c r="L178" s="8" t="s">
        <v>55</v>
      </c>
      <c r="M178" s="8" t="s">
        <v>373</v>
      </c>
      <c r="N178" s="8" t="s">
        <v>36</v>
      </c>
      <c r="O178" s="1" t="str">
        <f>VLOOKUP(C178,[1]Sheet2!A:C,2,FALSE)</f>
        <v>立充充电宝取机柜-物流服务</v>
      </c>
      <c r="P178" s="1" t="str">
        <f>VLOOKUP(C178,[1]Sheet2!G:H,2,FALSE)</f>
        <v>131****2614</v>
      </c>
      <c r="Q178" s="31" t="s">
        <v>210</v>
      </c>
    </row>
    <row r="179" s="1" customFormat="1" spans="1:17">
      <c r="A179" s="8" t="s">
        <v>378</v>
      </c>
      <c r="B179" s="8" t="s">
        <v>356</v>
      </c>
      <c r="C179" s="8" t="s">
        <v>379</v>
      </c>
      <c r="D179" s="8" t="s">
        <v>204</v>
      </c>
      <c r="E179" s="8" t="s">
        <v>205</v>
      </c>
      <c r="F179" s="8" t="s">
        <v>209</v>
      </c>
      <c r="G179" s="8" t="s">
        <v>26</v>
      </c>
      <c r="H179" s="8" t="s">
        <v>27</v>
      </c>
      <c r="I179" s="8" t="s">
        <v>28</v>
      </c>
      <c r="J179" s="8" t="s">
        <v>95</v>
      </c>
      <c r="K179" s="8" t="s">
        <v>30</v>
      </c>
      <c r="L179" s="8" t="s">
        <v>95</v>
      </c>
      <c r="M179" s="8" t="s">
        <v>373</v>
      </c>
      <c r="N179" s="8" t="s">
        <v>31</v>
      </c>
      <c r="O179" s="1" t="str">
        <f>VLOOKUP(C179,[1]Sheet2!A:C,2,FALSE)</f>
        <v>立充充电宝取机柜-物流服务</v>
      </c>
      <c r="P179" s="1" t="str">
        <f>VLOOKUP(C179,[1]Sheet2!G:H,2,FALSE)</f>
        <v>131****2614</v>
      </c>
      <c r="Q179" s="31" t="s">
        <v>210</v>
      </c>
    </row>
    <row r="180" s="1" customFormat="1" spans="1:17">
      <c r="A180" s="8" t="s">
        <v>380</v>
      </c>
      <c r="B180" s="8" t="s">
        <v>356</v>
      </c>
      <c r="C180" s="8" t="s">
        <v>379</v>
      </c>
      <c r="D180" s="8" t="s">
        <v>204</v>
      </c>
      <c r="E180" s="8" t="s">
        <v>205</v>
      </c>
      <c r="F180" s="8" t="s">
        <v>209</v>
      </c>
      <c r="G180" s="8" t="s">
        <v>34</v>
      </c>
      <c r="H180" s="8" t="s">
        <v>27</v>
      </c>
      <c r="I180" s="8" t="s">
        <v>28</v>
      </c>
      <c r="J180" s="8" t="s">
        <v>55</v>
      </c>
      <c r="K180" s="8" t="s">
        <v>30</v>
      </c>
      <c r="L180" s="8" t="s">
        <v>55</v>
      </c>
      <c r="M180" s="8" t="s">
        <v>373</v>
      </c>
      <c r="N180" s="8" t="s">
        <v>36</v>
      </c>
      <c r="O180" s="1" t="str">
        <f>VLOOKUP(C180,[1]Sheet2!A:C,2,FALSE)</f>
        <v>立充充电宝取机柜-物流服务</v>
      </c>
      <c r="P180" s="1" t="str">
        <f>VLOOKUP(C180,[1]Sheet2!G:H,2,FALSE)</f>
        <v>131****2614</v>
      </c>
      <c r="Q180" s="31" t="s">
        <v>210</v>
      </c>
    </row>
    <row r="181" s="1" customFormat="1" spans="1:17">
      <c r="A181" s="8" t="s">
        <v>381</v>
      </c>
      <c r="B181" s="8" t="s">
        <v>356</v>
      </c>
      <c r="C181" s="8" t="s">
        <v>339</v>
      </c>
      <c r="D181" s="8" t="s">
        <v>45</v>
      </c>
      <c r="E181" s="8" t="s">
        <v>45</v>
      </c>
      <c r="F181" s="8" t="s">
        <v>340</v>
      </c>
      <c r="G181" s="8" t="s">
        <v>34</v>
      </c>
      <c r="H181" s="8" t="s">
        <v>27</v>
      </c>
      <c r="I181" s="8" t="s">
        <v>69</v>
      </c>
      <c r="J181" s="8" t="s">
        <v>70</v>
      </c>
      <c r="K181" s="8" t="s">
        <v>30</v>
      </c>
      <c r="L181" s="8" t="s">
        <v>70</v>
      </c>
      <c r="M181" s="8" t="s">
        <v>46</v>
      </c>
      <c r="N181" s="8" t="s">
        <v>219</v>
      </c>
      <c r="O181" s="1" t="str">
        <f>VLOOKUP(C181,[1]Sheet2!A:C,2,FALSE)</f>
        <v>补宝-物流服务</v>
      </c>
      <c r="P181" s="1" t="str">
        <f>VLOOKUP(C181,[1]Sheet2!G:H,2,FALSE)</f>
        <v>186****6788</v>
      </c>
      <c r="Q181" s="12" t="s">
        <v>48</v>
      </c>
    </row>
    <row r="182" s="1" customFormat="1" spans="1:17">
      <c r="A182" s="8" t="s">
        <v>382</v>
      </c>
      <c r="B182" s="8" t="s">
        <v>356</v>
      </c>
      <c r="C182" s="8" t="s">
        <v>345</v>
      </c>
      <c r="D182" s="8" t="s">
        <v>45</v>
      </c>
      <c r="E182" s="8" t="s">
        <v>45</v>
      </c>
      <c r="F182" s="8" t="s">
        <v>346</v>
      </c>
      <c r="G182" s="8" t="s">
        <v>34</v>
      </c>
      <c r="H182" s="8" t="s">
        <v>27</v>
      </c>
      <c r="I182" s="8" t="s">
        <v>69</v>
      </c>
      <c r="J182" s="8" t="s">
        <v>70</v>
      </c>
      <c r="K182" s="8" t="s">
        <v>30</v>
      </c>
      <c r="L182" s="8" t="s">
        <v>70</v>
      </c>
      <c r="M182" s="8" t="s">
        <v>46</v>
      </c>
      <c r="N182" s="8" t="s">
        <v>219</v>
      </c>
      <c r="O182" s="1" t="str">
        <f>VLOOKUP(C182,[1]Sheet2!A:C,2,FALSE)</f>
        <v>补宝-物流服务</v>
      </c>
      <c r="P182" s="1" t="str">
        <f>VLOOKUP(C182,[1]Sheet2!G:H,2,FALSE)</f>
        <v>186****6788</v>
      </c>
      <c r="Q182" s="12" t="s">
        <v>48</v>
      </c>
    </row>
    <row r="183" s="1" customFormat="1" spans="1:17">
      <c r="A183" s="8" t="s">
        <v>383</v>
      </c>
      <c r="B183" s="8" t="s">
        <v>356</v>
      </c>
      <c r="C183" s="8" t="s">
        <v>348</v>
      </c>
      <c r="D183" s="8" t="s">
        <v>45</v>
      </c>
      <c r="E183" s="8" t="s">
        <v>45</v>
      </c>
      <c r="F183" s="8" t="s">
        <v>343</v>
      </c>
      <c r="G183" s="8" t="s">
        <v>34</v>
      </c>
      <c r="H183" s="8" t="s">
        <v>27</v>
      </c>
      <c r="I183" s="8" t="s">
        <v>69</v>
      </c>
      <c r="J183" s="8" t="s">
        <v>70</v>
      </c>
      <c r="K183" s="8" t="s">
        <v>30</v>
      </c>
      <c r="L183" s="8" t="s">
        <v>70</v>
      </c>
      <c r="M183" s="8" t="s">
        <v>46</v>
      </c>
      <c r="N183" s="8" t="s">
        <v>219</v>
      </c>
      <c r="O183" s="1" t="str">
        <f>VLOOKUP(C183,[1]Sheet2!A:C,2,FALSE)</f>
        <v>补宝-物流服务</v>
      </c>
      <c r="P183" s="1" t="str">
        <f>VLOOKUP(C183,[1]Sheet2!G:H,2,FALSE)</f>
        <v>186****6788</v>
      </c>
      <c r="Q183" s="12" t="s">
        <v>48</v>
      </c>
    </row>
    <row r="184" s="1" customFormat="1" spans="1:17">
      <c r="A184" s="8" t="s">
        <v>384</v>
      </c>
      <c r="B184" s="8" t="s">
        <v>356</v>
      </c>
      <c r="C184" s="8" t="s">
        <v>385</v>
      </c>
      <c r="D184" s="8" t="s">
        <v>76</v>
      </c>
      <c r="E184" s="8" t="s">
        <v>45</v>
      </c>
      <c r="F184" s="8" t="s">
        <v>89</v>
      </c>
      <c r="G184" s="8" t="s">
        <v>26</v>
      </c>
      <c r="H184" s="8" t="s">
        <v>27</v>
      </c>
      <c r="I184" s="8" t="s">
        <v>28</v>
      </c>
      <c r="J184" s="8" t="s">
        <v>29</v>
      </c>
      <c r="K184" s="8" t="s">
        <v>30</v>
      </c>
      <c r="L184" s="8" t="s">
        <v>29</v>
      </c>
      <c r="M184" s="8" t="s">
        <v>90</v>
      </c>
      <c r="N184" s="8" t="s">
        <v>31</v>
      </c>
      <c r="O184" s="1" t="str">
        <f>VLOOKUP(C184,[1]Sheet2!A:C,2,FALSE)</f>
        <v>立充充电宝取机柜-仅服务</v>
      </c>
      <c r="P184" s="1" t="str">
        <f>VLOOKUP(C184,[1]Sheet2!G:H,2,FALSE)</f>
        <v>130****4667</v>
      </c>
      <c r="Q184" s="31" t="s">
        <v>77</v>
      </c>
    </row>
    <row r="185" s="1" customFormat="1" spans="1:17">
      <c r="A185" s="8" t="s">
        <v>386</v>
      </c>
      <c r="B185" s="8" t="s">
        <v>356</v>
      </c>
      <c r="C185" s="8" t="s">
        <v>385</v>
      </c>
      <c r="D185" s="8" t="s">
        <v>76</v>
      </c>
      <c r="E185" s="8" t="s">
        <v>45</v>
      </c>
      <c r="F185" s="8" t="s">
        <v>89</v>
      </c>
      <c r="G185" s="8" t="s">
        <v>34</v>
      </c>
      <c r="H185" s="8" t="s">
        <v>27</v>
      </c>
      <c r="I185" s="8" t="s">
        <v>28</v>
      </c>
      <c r="J185" s="8" t="s">
        <v>55</v>
      </c>
      <c r="K185" s="8" t="s">
        <v>30</v>
      </c>
      <c r="L185" s="8" t="s">
        <v>55</v>
      </c>
      <c r="M185" s="8" t="s">
        <v>90</v>
      </c>
      <c r="N185" s="8" t="s">
        <v>36</v>
      </c>
      <c r="O185" s="1" t="str">
        <f>VLOOKUP(C185,[1]Sheet2!A:C,2,FALSE)</f>
        <v>立充充电宝取机柜-仅服务</v>
      </c>
      <c r="P185" s="1" t="str">
        <f>VLOOKUP(C185,[1]Sheet2!G:H,2,FALSE)</f>
        <v>130****4667</v>
      </c>
      <c r="Q185" s="31" t="s">
        <v>77</v>
      </c>
    </row>
    <row r="186" s="1" customFormat="1" spans="1:17">
      <c r="A186" s="8" t="s">
        <v>387</v>
      </c>
      <c r="B186" s="8" t="s">
        <v>388</v>
      </c>
      <c r="C186" s="8" t="s">
        <v>389</v>
      </c>
      <c r="D186" s="8" t="s">
        <v>390</v>
      </c>
      <c r="E186" s="8" t="s">
        <v>390</v>
      </c>
      <c r="F186" s="8" t="s">
        <v>391</v>
      </c>
      <c r="G186" s="8" t="s">
        <v>26</v>
      </c>
      <c r="H186" s="8" t="s">
        <v>27</v>
      </c>
      <c r="I186" s="8" t="s">
        <v>28</v>
      </c>
      <c r="J186" s="8" t="s">
        <v>47</v>
      </c>
      <c r="K186" s="8" t="s">
        <v>30</v>
      </c>
      <c r="L186" s="8" t="s">
        <v>47</v>
      </c>
      <c r="M186" s="8" t="s">
        <v>392</v>
      </c>
      <c r="N186" s="8" t="s">
        <v>31</v>
      </c>
      <c r="O186" s="1" t="str">
        <f>VLOOKUP(C186,[1]Sheet2!A:C,2,FALSE)</f>
        <v>取宝-物流服务</v>
      </c>
      <c r="P186" s="1" t="str">
        <f>VLOOKUP(C186,[1]Sheet2!G:H,2,FALSE)</f>
        <v>137****1781</v>
      </c>
      <c r="Q186" s="31" t="s">
        <v>393</v>
      </c>
    </row>
    <row r="187" s="1" customFormat="1" spans="1:17">
      <c r="A187" s="8" t="s">
        <v>394</v>
      </c>
      <c r="B187" s="8" t="s">
        <v>388</v>
      </c>
      <c r="C187" s="8" t="s">
        <v>395</v>
      </c>
      <c r="D187" s="8" t="s">
        <v>390</v>
      </c>
      <c r="E187" s="8" t="s">
        <v>390</v>
      </c>
      <c r="F187" s="8" t="s">
        <v>392</v>
      </c>
      <c r="G187" s="8" t="s">
        <v>26</v>
      </c>
      <c r="H187" s="8" t="s">
        <v>27</v>
      </c>
      <c r="I187" s="8" t="s">
        <v>28</v>
      </c>
      <c r="J187" s="8" t="s">
        <v>47</v>
      </c>
      <c r="K187" s="8" t="s">
        <v>30</v>
      </c>
      <c r="L187" s="8" t="s">
        <v>47</v>
      </c>
      <c r="M187" s="8" t="s">
        <v>392</v>
      </c>
      <c r="N187" s="8" t="s">
        <v>31</v>
      </c>
      <c r="O187" s="1" t="str">
        <f>VLOOKUP(C187,[1]Sheet2!A:C,2,FALSE)</f>
        <v>取宝-物流服务</v>
      </c>
      <c r="P187" s="1" t="str">
        <f>VLOOKUP(C187,[1]Sheet2!G:H,2,FALSE)</f>
        <v>137****1781</v>
      </c>
      <c r="Q187" s="31" t="s">
        <v>393</v>
      </c>
    </row>
    <row r="188" s="1" customFormat="1" spans="1:17">
      <c r="A188" s="8" t="s">
        <v>396</v>
      </c>
      <c r="B188" s="8" t="s">
        <v>388</v>
      </c>
      <c r="C188" s="8" t="s">
        <v>395</v>
      </c>
      <c r="D188" s="8" t="s">
        <v>390</v>
      </c>
      <c r="E188" s="8" t="s">
        <v>390</v>
      </c>
      <c r="F188" s="8" t="s">
        <v>392</v>
      </c>
      <c r="G188" s="8" t="s">
        <v>34</v>
      </c>
      <c r="H188" s="8" t="s">
        <v>27</v>
      </c>
      <c r="I188" s="8" t="s">
        <v>28</v>
      </c>
      <c r="J188" s="8" t="s">
        <v>55</v>
      </c>
      <c r="K188" s="8" t="s">
        <v>30</v>
      </c>
      <c r="L188" s="8" t="s">
        <v>55</v>
      </c>
      <c r="M188" s="8" t="s">
        <v>392</v>
      </c>
      <c r="N188" s="8" t="s">
        <v>36</v>
      </c>
      <c r="O188" s="1" t="str">
        <f>VLOOKUP(C188,[1]Sheet2!A:C,2,FALSE)</f>
        <v>取宝-物流服务</v>
      </c>
      <c r="P188" s="1" t="str">
        <f>VLOOKUP(C188,[1]Sheet2!G:H,2,FALSE)</f>
        <v>137****1781</v>
      </c>
      <c r="Q188" s="31" t="s">
        <v>393</v>
      </c>
    </row>
    <row r="189" s="1" customFormat="1" spans="1:17">
      <c r="A189" s="8" t="s">
        <v>397</v>
      </c>
      <c r="B189" s="8" t="s">
        <v>388</v>
      </c>
      <c r="C189" s="8" t="s">
        <v>398</v>
      </c>
      <c r="D189" s="8" t="s">
        <v>399</v>
      </c>
      <c r="E189" s="8" t="s">
        <v>399</v>
      </c>
      <c r="F189" s="8" t="s">
        <v>392</v>
      </c>
      <c r="G189" s="8" t="s">
        <v>26</v>
      </c>
      <c r="H189" s="8" t="s">
        <v>27</v>
      </c>
      <c r="I189" s="8" t="s">
        <v>28</v>
      </c>
      <c r="J189" s="8" t="s">
        <v>47</v>
      </c>
      <c r="K189" s="8" t="s">
        <v>30</v>
      </c>
      <c r="L189" s="8" t="s">
        <v>47</v>
      </c>
      <c r="M189" s="8" t="s">
        <v>392</v>
      </c>
      <c r="N189" s="8" t="s">
        <v>31</v>
      </c>
      <c r="O189" s="1" t="str">
        <f>VLOOKUP(C189,[1]Sheet2!A:C,2,FALSE)</f>
        <v>取宝-物流服务</v>
      </c>
      <c r="P189" s="1" t="str">
        <f>VLOOKUP(C189,[1]Sheet2!G:H,2,FALSE)</f>
        <v>137****1781</v>
      </c>
      <c r="Q189" s="31" t="s">
        <v>393</v>
      </c>
    </row>
    <row r="190" s="1" customFormat="1" spans="1:17">
      <c r="A190" s="8" t="s">
        <v>400</v>
      </c>
      <c r="B190" s="8" t="s">
        <v>388</v>
      </c>
      <c r="C190" s="8" t="s">
        <v>398</v>
      </c>
      <c r="D190" s="8" t="s">
        <v>399</v>
      </c>
      <c r="E190" s="8" t="s">
        <v>399</v>
      </c>
      <c r="F190" s="8" t="s">
        <v>392</v>
      </c>
      <c r="G190" s="8" t="s">
        <v>34</v>
      </c>
      <c r="H190" s="8" t="s">
        <v>27</v>
      </c>
      <c r="I190" s="8" t="s">
        <v>28</v>
      </c>
      <c r="J190" s="8" t="s">
        <v>55</v>
      </c>
      <c r="K190" s="8" t="s">
        <v>30</v>
      </c>
      <c r="L190" s="8" t="s">
        <v>55</v>
      </c>
      <c r="M190" s="8" t="s">
        <v>392</v>
      </c>
      <c r="N190" s="8" t="s">
        <v>36</v>
      </c>
      <c r="O190" s="1" t="str">
        <f>VLOOKUP(C190,[1]Sheet2!A:C,2,FALSE)</f>
        <v>取宝-物流服务</v>
      </c>
      <c r="P190" s="1" t="str">
        <f>VLOOKUP(C190,[1]Sheet2!G:H,2,FALSE)</f>
        <v>137****1781</v>
      </c>
      <c r="Q190" s="31" t="s">
        <v>393</v>
      </c>
    </row>
    <row r="191" s="1" customFormat="1" spans="1:17">
      <c r="A191" s="8" t="s">
        <v>401</v>
      </c>
      <c r="B191" s="8" t="s">
        <v>388</v>
      </c>
      <c r="C191" s="8" t="s">
        <v>402</v>
      </c>
      <c r="D191" s="8" t="s">
        <v>390</v>
      </c>
      <c r="E191" s="8" t="s">
        <v>390</v>
      </c>
      <c r="F191" s="8" t="s">
        <v>392</v>
      </c>
      <c r="G191" s="8" t="s">
        <v>26</v>
      </c>
      <c r="H191" s="8" t="s">
        <v>27</v>
      </c>
      <c r="I191" s="8" t="s">
        <v>28</v>
      </c>
      <c r="J191" s="8" t="s">
        <v>47</v>
      </c>
      <c r="K191" s="8" t="s">
        <v>30</v>
      </c>
      <c r="L191" s="8" t="s">
        <v>47</v>
      </c>
      <c r="M191" s="8" t="s">
        <v>392</v>
      </c>
      <c r="N191" s="8" t="s">
        <v>31</v>
      </c>
      <c r="O191" s="1" t="str">
        <f>VLOOKUP(C191,[1]Sheet2!A:C,2,FALSE)</f>
        <v>取宝-物流服务</v>
      </c>
      <c r="P191" s="1" t="str">
        <f>VLOOKUP(C191,[1]Sheet2!G:H,2,FALSE)</f>
        <v>137****1781</v>
      </c>
      <c r="Q191" s="31" t="s">
        <v>393</v>
      </c>
    </row>
    <row r="192" s="1" customFormat="1" spans="1:17">
      <c r="A192" s="8" t="s">
        <v>403</v>
      </c>
      <c r="B192" s="8" t="s">
        <v>388</v>
      </c>
      <c r="C192" s="8" t="s">
        <v>402</v>
      </c>
      <c r="D192" s="8" t="s">
        <v>390</v>
      </c>
      <c r="E192" s="8" t="s">
        <v>390</v>
      </c>
      <c r="F192" s="8" t="s">
        <v>392</v>
      </c>
      <c r="G192" s="8" t="s">
        <v>34</v>
      </c>
      <c r="H192" s="8" t="s">
        <v>27</v>
      </c>
      <c r="I192" s="8" t="s">
        <v>28</v>
      </c>
      <c r="J192" s="8" t="s">
        <v>35</v>
      </c>
      <c r="K192" s="8" t="s">
        <v>30</v>
      </c>
      <c r="L192" s="8" t="s">
        <v>35</v>
      </c>
      <c r="M192" s="8" t="s">
        <v>392</v>
      </c>
      <c r="N192" s="8" t="s">
        <v>36</v>
      </c>
      <c r="O192" s="1" t="str">
        <f>VLOOKUP(C192,[1]Sheet2!A:C,2,FALSE)</f>
        <v>取宝-物流服务</v>
      </c>
      <c r="P192" s="1" t="str">
        <f>VLOOKUP(C192,[1]Sheet2!G:H,2,FALSE)</f>
        <v>137****1781</v>
      </c>
      <c r="Q192" s="31" t="s">
        <v>393</v>
      </c>
    </row>
    <row r="193" s="1" customFormat="1" spans="1:17">
      <c r="A193" s="8" t="s">
        <v>404</v>
      </c>
      <c r="B193" s="8" t="s">
        <v>388</v>
      </c>
      <c r="C193" s="8" t="s">
        <v>405</v>
      </c>
      <c r="D193" s="8" t="s">
        <v>399</v>
      </c>
      <c r="E193" s="8" t="s">
        <v>399</v>
      </c>
      <c r="F193" s="8" t="s">
        <v>392</v>
      </c>
      <c r="G193" s="8" t="s">
        <v>26</v>
      </c>
      <c r="H193" s="8" t="s">
        <v>27</v>
      </c>
      <c r="I193" s="8" t="s">
        <v>28</v>
      </c>
      <c r="J193" s="8" t="s">
        <v>47</v>
      </c>
      <c r="K193" s="8" t="s">
        <v>30</v>
      </c>
      <c r="L193" s="8" t="s">
        <v>47</v>
      </c>
      <c r="M193" s="8" t="s">
        <v>392</v>
      </c>
      <c r="N193" s="8" t="s">
        <v>31</v>
      </c>
      <c r="O193" s="1" t="str">
        <f>VLOOKUP(C193,[1]Sheet2!A:C,2,FALSE)</f>
        <v>取宝-物流服务</v>
      </c>
      <c r="P193" s="1" t="str">
        <f>VLOOKUP(C193,[1]Sheet2!G:H,2,FALSE)</f>
        <v>137****1781</v>
      </c>
      <c r="Q193" s="31" t="s">
        <v>393</v>
      </c>
    </row>
    <row r="194" s="1" customFormat="1" spans="1:17">
      <c r="A194" s="8" t="s">
        <v>406</v>
      </c>
      <c r="B194" s="8" t="s">
        <v>388</v>
      </c>
      <c r="C194" s="8" t="s">
        <v>407</v>
      </c>
      <c r="D194" s="8" t="s">
        <v>390</v>
      </c>
      <c r="E194" s="8" t="s">
        <v>390</v>
      </c>
      <c r="F194" s="8" t="s">
        <v>392</v>
      </c>
      <c r="G194" s="8" t="s">
        <v>26</v>
      </c>
      <c r="H194" s="8" t="s">
        <v>27</v>
      </c>
      <c r="I194" s="8" t="s">
        <v>28</v>
      </c>
      <c r="J194" s="8" t="s">
        <v>47</v>
      </c>
      <c r="K194" s="8" t="s">
        <v>30</v>
      </c>
      <c r="L194" s="8" t="s">
        <v>47</v>
      </c>
      <c r="M194" s="8" t="s">
        <v>392</v>
      </c>
      <c r="N194" s="8" t="s">
        <v>31</v>
      </c>
      <c r="O194" s="1" t="str">
        <f>VLOOKUP(C194,[1]Sheet2!A:C,2,FALSE)</f>
        <v>取宝-物流服务</v>
      </c>
      <c r="P194" s="1" t="str">
        <f>VLOOKUP(C194,[1]Sheet2!G:H,2,FALSE)</f>
        <v>137****1781</v>
      </c>
      <c r="Q194" s="31" t="s">
        <v>393</v>
      </c>
    </row>
    <row r="195" s="1" customFormat="1" spans="1:17">
      <c r="A195" s="8" t="s">
        <v>408</v>
      </c>
      <c r="B195" s="8" t="s">
        <v>388</v>
      </c>
      <c r="C195" s="8" t="s">
        <v>407</v>
      </c>
      <c r="D195" s="8" t="s">
        <v>390</v>
      </c>
      <c r="E195" s="8" t="s">
        <v>390</v>
      </c>
      <c r="F195" s="8" t="s">
        <v>392</v>
      </c>
      <c r="G195" s="8" t="s">
        <v>34</v>
      </c>
      <c r="H195" s="8" t="s">
        <v>27</v>
      </c>
      <c r="I195" s="8" t="s">
        <v>28</v>
      </c>
      <c r="J195" s="8" t="s">
        <v>35</v>
      </c>
      <c r="K195" s="8" t="s">
        <v>30</v>
      </c>
      <c r="L195" s="8" t="s">
        <v>35</v>
      </c>
      <c r="M195" s="8" t="s">
        <v>392</v>
      </c>
      <c r="N195" s="8" t="s">
        <v>36</v>
      </c>
      <c r="O195" s="1" t="str">
        <f>VLOOKUP(C195,[1]Sheet2!A:C,2,FALSE)</f>
        <v>取宝-物流服务</v>
      </c>
      <c r="P195" s="1" t="str">
        <f>VLOOKUP(C195,[1]Sheet2!G:H,2,FALSE)</f>
        <v>137****1781</v>
      </c>
      <c r="Q195" s="31" t="s">
        <v>393</v>
      </c>
    </row>
    <row r="196" s="1" customFormat="1" spans="1:17">
      <c r="A196" s="8" t="s">
        <v>409</v>
      </c>
      <c r="B196" s="8" t="s">
        <v>388</v>
      </c>
      <c r="C196" s="8" t="s">
        <v>358</v>
      </c>
      <c r="D196" s="8" t="s">
        <v>76</v>
      </c>
      <c r="E196" s="8" t="s">
        <v>359</v>
      </c>
      <c r="F196" s="8" t="s">
        <v>360</v>
      </c>
      <c r="G196" s="8" t="s">
        <v>34</v>
      </c>
      <c r="H196" s="8" t="s">
        <v>27</v>
      </c>
      <c r="I196" s="8" t="s">
        <v>69</v>
      </c>
      <c r="J196" s="8" t="s">
        <v>70</v>
      </c>
      <c r="K196" s="8" t="s">
        <v>30</v>
      </c>
      <c r="L196" s="8" t="s">
        <v>70</v>
      </c>
      <c r="M196" s="8" t="s">
        <v>361</v>
      </c>
      <c r="N196" s="8" t="s">
        <v>71</v>
      </c>
      <c r="O196" s="1" t="str">
        <f>VLOOKUP(C196,[1]Sheet2!A:C,2,FALSE)</f>
        <v>取宝-物流服务</v>
      </c>
      <c r="P196" s="1" t="str">
        <f>VLOOKUP(C196,[1]Sheet2!G:H,2,FALSE)</f>
        <v>134****9085</v>
      </c>
      <c r="Q196" s="31" t="s">
        <v>362</v>
      </c>
    </row>
    <row r="197" s="1" customFormat="1" spans="1:17">
      <c r="A197" s="8" t="s">
        <v>410</v>
      </c>
      <c r="B197" s="8" t="s">
        <v>388</v>
      </c>
      <c r="C197" s="8" t="s">
        <v>364</v>
      </c>
      <c r="D197" s="8" t="s">
        <v>76</v>
      </c>
      <c r="E197" s="8" t="s">
        <v>359</v>
      </c>
      <c r="F197" s="8" t="s">
        <v>360</v>
      </c>
      <c r="G197" s="8" t="s">
        <v>34</v>
      </c>
      <c r="H197" s="8" t="s">
        <v>27</v>
      </c>
      <c r="I197" s="8" t="s">
        <v>69</v>
      </c>
      <c r="J197" s="8" t="s">
        <v>84</v>
      </c>
      <c r="K197" s="8" t="s">
        <v>30</v>
      </c>
      <c r="L197" s="8" t="s">
        <v>84</v>
      </c>
      <c r="M197" s="8" t="s">
        <v>361</v>
      </c>
      <c r="N197" s="8" t="s">
        <v>71</v>
      </c>
      <c r="O197" s="1" t="str">
        <f>VLOOKUP(C197,[1]Sheet2!A:C,2,FALSE)</f>
        <v>立充充电宝取机柜-物流服务</v>
      </c>
      <c r="P197" s="1" t="str">
        <f>VLOOKUP(C197,[1]Sheet2!G:H,2,FALSE)</f>
        <v>134****9085</v>
      </c>
      <c r="Q197" s="31" t="s">
        <v>362</v>
      </c>
    </row>
    <row r="198" s="1" customFormat="1" spans="1:17">
      <c r="A198" s="8" t="s">
        <v>411</v>
      </c>
      <c r="B198" s="8" t="s">
        <v>388</v>
      </c>
      <c r="C198" s="8" t="s">
        <v>370</v>
      </c>
      <c r="D198" s="8" t="s">
        <v>204</v>
      </c>
      <c r="E198" s="8" t="s">
        <v>205</v>
      </c>
      <c r="F198" s="8" t="s">
        <v>209</v>
      </c>
      <c r="G198" s="8" t="s">
        <v>34</v>
      </c>
      <c r="H198" s="8" t="s">
        <v>27</v>
      </c>
      <c r="I198" s="8" t="s">
        <v>69</v>
      </c>
      <c r="J198" s="8" t="s">
        <v>84</v>
      </c>
      <c r="K198" s="8" t="s">
        <v>30</v>
      </c>
      <c r="L198" s="8" t="s">
        <v>84</v>
      </c>
      <c r="M198" s="8" t="s">
        <v>373</v>
      </c>
      <c r="N198" s="8" t="s">
        <v>71</v>
      </c>
      <c r="O198" s="1" t="str">
        <f>VLOOKUP(C198,[1]Sheet2!A:C,2,FALSE)</f>
        <v>立充充电宝取机柜-物流服务</v>
      </c>
      <c r="P198" s="1" t="str">
        <f>VLOOKUP(C198,[1]Sheet2!G:H,2,FALSE)</f>
        <v>131****2614</v>
      </c>
      <c r="Q198" s="31" t="s">
        <v>210</v>
      </c>
    </row>
    <row r="199" s="1" customFormat="1" spans="1:17">
      <c r="A199" s="8" t="s">
        <v>412</v>
      </c>
      <c r="B199" s="8" t="s">
        <v>388</v>
      </c>
      <c r="C199" s="8" t="s">
        <v>376</v>
      </c>
      <c r="D199" s="8" t="s">
        <v>204</v>
      </c>
      <c r="E199" s="8" t="s">
        <v>205</v>
      </c>
      <c r="F199" s="8" t="s">
        <v>209</v>
      </c>
      <c r="G199" s="8" t="s">
        <v>34</v>
      </c>
      <c r="H199" s="8" t="s">
        <v>27</v>
      </c>
      <c r="I199" s="8" t="s">
        <v>69</v>
      </c>
      <c r="J199" s="8" t="s">
        <v>84</v>
      </c>
      <c r="K199" s="8" t="s">
        <v>30</v>
      </c>
      <c r="L199" s="8" t="s">
        <v>84</v>
      </c>
      <c r="M199" s="8" t="s">
        <v>373</v>
      </c>
      <c r="N199" s="8" t="s">
        <v>71</v>
      </c>
      <c r="O199" s="1" t="str">
        <f>VLOOKUP(C199,[1]Sheet2!A:C,2,FALSE)</f>
        <v>立充充电宝取机柜-物流服务</v>
      </c>
      <c r="P199" s="1" t="str">
        <f>VLOOKUP(C199,[1]Sheet2!G:H,2,FALSE)</f>
        <v>131****2614</v>
      </c>
      <c r="Q199" s="31" t="s">
        <v>210</v>
      </c>
    </row>
    <row r="200" s="1" customFormat="1" spans="1:17">
      <c r="A200" s="8" t="s">
        <v>413</v>
      </c>
      <c r="B200" s="8" t="s">
        <v>388</v>
      </c>
      <c r="C200" s="8" t="s">
        <v>379</v>
      </c>
      <c r="D200" s="8" t="s">
        <v>204</v>
      </c>
      <c r="E200" s="8" t="s">
        <v>205</v>
      </c>
      <c r="F200" s="8" t="s">
        <v>209</v>
      </c>
      <c r="G200" s="8" t="s">
        <v>34</v>
      </c>
      <c r="H200" s="8" t="s">
        <v>27</v>
      </c>
      <c r="I200" s="8" t="s">
        <v>69</v>
      </c>
      <c r="J200" s="8" t="s">
        <v>84</v>
      </c>
      <c r="K200" s="8" t="s">
        <v>30</v>
      </c>
      <c r="L200" s="8" t="s">
        <v>84</v>
      </c>
      <c r="M200" s="8" t="s">
        <v>373</v>
      </c>
      <c r="N200" s="8" t="s">
        <v>71</v>
      </c>
      <c r="O200" s="1" t="str">
        <f>VLOOKUP(C200,[1]Sheet2!A:C,2,FALSE)</f>
        <v>立充充电宝取机柜-物流服务</v>
      </c>
      <c r="P200" s="1" t="str">
        <f>VLOOKUP(C200,[1]Sheet2!G:H,2,FALSE)</f>
        <v>131****2614</v>
      </c>
      <c r="Q200" s="31" t="s">
        <v>210</v>
      </c>
    </row>
    <row r="201" s="1" customFormat="1" spans="1:17">
      <c r="A201" s="8" t="s">
        <v>414</v>
      </c>
      <c r="B201" s="8" t="s">
        <v>388</v>
      </c>
      <c r="C201" s="8" t="s">
        <v>342</v>
      </c>
      <c r="D201" s="8" t="s">
        <v>45</v>
      </c>
      <c r="E201" s="8" t="s">
        <v>45</v>
      </c>
      <c r="F201" s="8" t="s">
        <v>343</v>
      </c>
      <c r="G201" s="8" t="s">
        <v>34</v>
      </c>
      <c r="H201" s="8" t="s">
        <v>27</v>
      </c>
      <c r="I201" s="8" t="s">
        <v>69</v>
      </c>
      <c r="J201" s="8" t="s">
        <v>70</v>
      </c>
      <c r="K201" s="8" t="s">
        <v>30</v>
      </c>
      <c r="L201" s="8" t="s">
        <v>70</v>
      </c>
      <c r="M201" s="8" t="s">
        <v>46</v>
      </c>
      <c r="N201" s="8" t="s">
        <v>219</v>
      </c>
      <c r="O201" s="1" t="str">
        <f>VLOOKUP(C201,[1]Sheet2!A:C,2,FALSE)</f>
        <v>补宝-物流服务</v>
      </c>
      <c r="P201" s="1" t="str">
        <f>VLOOKUP(C201,[1]Sheet2!G:H,2,FALSE)</f>
        <v>186****6788</v>
      </c>
      <c r="Q201" s="12" t="s">
        <v>48</v>
      </c>
    </row>
    <row r="202" s="1" customFormat="1" spans="1:17">
      <c r="A202" s="8" t="s">
        <v>415</v>
      </c>
      <c r="B202" s="8" t="s">
        <v>388</v>
      </c>
      <c r="C202" s="8" t="s">
        <v>353</v>
      </c>
      <c r="D202" s="8" t="s">
        <v>45</v>
      </c>
      <c r="E202" s="8" t="s">
        <v>45</v>
      </c>
      <c r="F202" s="8" t="s">
        <v>46</v>
      </c>
      <c r="G202" s="8" t="s">
        <v>34</v>
      </c>
      <c r="H202" s="8" t="s">
        <v>27</v>
      </c>
      <c r="I202" s="8" t="s">
        <v>69</v>
      </c>
      <c r="J202" s="8" t="s">
        <v>70</v>
      </c>
      <c r="K202" s="8" t="s">
        <v>30</v>
      </c>
      <c r="L202" s="8" t="s">
        <v>70</v>
      </c>
      <c r="M202" s="8" t="s">
        <v>46</v>
      </c>
      <c r="N202" s="8" t="s">
        <v>71</v>
      </c>
      <c r="O202" s="1" t="str">
        <f>VLOOKUP(C202,[1]Sheet2!A:C,2,FALSE)</f>
        <v>取宝-物流服务</v>
      </c>
      <c r="P202" s="1" t="str">
        <f>VLOOKUP(C202,[1]Sheet2!G:H,2,FALSE)</f>
        <v>186****6788</v>
      </c>
      <c r="Q202" s="12" t="s">
        <v>48</v>
      </c>
    </row>
    <row r="203" s="1" customFormat="1" spans="1:17">
      <c r="A203" s="8" t="s">
        <v>416</v>
      </c>
      <c r="B203" s="8" t="s">
        <v>417</v>
      </c>
      <c r="C203" s="8" t="s">
        <v>389</v>
      </c>
      <c r="D203" s="8" t="s">
        <v>390</v>
      </c>
      <c r="E203" s="8" t="s">
        <v>390</v>
      </c>
      <c r="F203" s="8" t="s">
        <v>391</v>
      </c>
      <c r="G203" s="8" t="s">
        <v>34</v>
      </c>
      <c r="H203" s="8" t="s">
        <v>27</v>
      </c>
      <c r="I203" s="8" t="s">
        <v>69</v>
      </c>
      <c r="J203" s="8" t="s">
        <v>70</v>
      </c>
      <c r="K203" s="8" t="s">
        <v>30</v>
      </c>
      <c r="L203" s="8" t="s">
        <v>70</v>
      </c>
      <c r="M203" s="8" t="s">
        <v>392</v>
      </c>
      <c r="N203" s="8" t="s">
        <v>71</v>
      </c>
      <c r="O203" s="1" t="str">
        <f>VLOOKUP(C203,[1]Sheet2!A:C,2,FALSE)</f>
        <v>取宝-物流服务</v>
      </c>
      <c r="P203" s="1" t="str">
        <f>VLOOKUP(C203,[1]Sheet2!G:H,2,FALSE)</f>
        <v>137****1781</v>
      </c>
      <c r="Q203" s="31" t="s">
        <v>393</v>
      </c>
    </row>
    <row r="204" s="1" customFormat="1" spans="1:17">
      <c r="A204" s="8" t="s">
        <v>418</v>
      </c>
      <c r="B204" s="8" t="s">
        <v>417</v>
      </c>
      <c r="C204" s="8" t="s">
        <v>395</v>
      </c>
      <c r="D204" s="8" t="s">
        <v>390</v>
      </c>
      <c r="E204" s="8" t="s">
        <v>390</v>
      </c>
      <c r="F204" s="8" t="s">
        <v>392</v>
      </c>
      <c r="G204" s="8" t="s">
        <v>34</v>
      </c>
      <c r="H204" s="8" t="s">
        <v>27</v>
      </c>
      <c r="I204" s="8" t="s">
        <v>69</v>
      </c>
      <c r="J204" s="8" t="s">
        <v>70</v>
      </c>
      <c r="K204" s="8" t="s">
        <v>30</v>
      </c>
      <c r="L204" s="8" t="s">
        <v>70</v>
      </c>
      <c r="M204" s="8" t="s">
        <v>392</v>
      </c>
      <c r="N204" s="8" t="s">
        <v>71</v>
      </c>
      <c r="O204" s="1" t="str">
        <f>VLOOKUP(C204,[1]Sheet2!A:C,2,FALSE)</f>
        <v>取宝-物流服务</v>
      </c>
      <c r="P204" s="1" t="str">
        <f>VLOOKUP(C204,[1]Sheet2!G:H,2,FALSE)</f>
        <v>137****1781</v>
      </c>
      <c r="Q204" s="31" t="s">
        <v>393</v>
      </c>
    </row>
    <row r="205" s="1" customFormat="1" spans="1:17">
      <c r="A205" s="8" t="s">
        <v>419</v>
      </c>
      <c r="B205" s="8" t="s">
        <v>417</v>
      </c>
      <c r="C205" s="8" t="s">
        <v>398</v>
      </c>
      <c r="D205" s="8" t="s">
        <v>399</v>
      </c>
      <c r="E205" s="8" t="s">
        <v>399</v>
      </c>
      <c r="F205" s="8" t="s">
        <v>392</v>
      </c>
      <c r="G205" s="8" t="s">
        <v>34</v>
      </c>
      <c r="H205" s="8" t="s">
        <v>27</v>
      </c>
      <c r="I205" s="8" t="s">
        <v>69</v>
      </c>
      <c r="J205" s="8" t="s">
        <v>70</v>
      </c>
      <c r="K205" s="8" t="s">
        <v>30</v>
      </c>
      <c r="L205" s="8" t="s">
        <v>70</v>
      </c>
      <c r="M205" s="8" t="s">
        <v>392</v>
      </c>
      <c r="N205" s="8" t="s">
        <v>71</v>
      </c>
      <c r="O205" s="1" t="str">
        <f>VLOOKUP(C205,[1]Sheet2!A:C,2,FALSE)</f>
        <v>取宝-物流服务</v>
      </c>
      <c r="P205" s="1" t="str">
        <f>VLOOKUP(C205,[1]Sheet2!G:H,2,FALSE)</f>
        <v>137****1781</v>
      </c>
      <c r="Q205" s="31" t="s">
        <v>393</v>
      </c>
    </row>
    <row r="206" s="1" customFormat="1" spans="1:17">
      <c r="A206" s="8" t="s">
        <v>420</v>
      </c>
      <c r="B206" s="8" t="s">
        <v>417</v>
      </c>
      <c r="C206" s="8" t="s">
        <v>402</v>
      </c>
      <c r="D206" s="8" t="s">
        <v>390</v>
      </c>
      <c r="E206" s="8" t="s">
        <v>390</v>
      </c>
      <c r="F206" s="8" t="s">
        <v>392</v>
      </c>
      <c r="G206" s="8" t="s">
        <v>34</v>
      </c>
      <c r="H206" s="8" t="s">
        <v>27</v>
      </c>
      <c r="I206" s="8" t="s">
        <v>69</v>
      </c>
      <c r="J206" s="8" t="s">
        <v>70</v>
      </c>
      <c r="K206" s="8" t="s">
        <v>30</v>
      </c>
      <c r="L206" s="8" t="s">
        <v>70</v>
      </c>
      <c r="M206" s="8" t="s">
        <v>392</v>
      </c>
      <c r="N206" s="8" t="s">
        <v>71</v>
      </c>
      <c r="O206" s="1" t="str">
        <f>VLOOKUP(C206,[1]Sheet2!A:C,2,FALSE)</f>
        <v>取宝-物流服务</v>
      </c>
      <c r="P206" s="1" t="str">
        <f>VLOOKUP(C206,[1]Sheet2!G:H,2,FALSE)</f>
        <v>137****1781</v>
      </c>
      <c r="Q206" s="31" t="s">
        <v>393</v>
      </c>
    </row>
    <row r="207" s="1" customFormat="1" spans="1:17">
      <c r="A207" s="8" t="s">
        <v>421</v>
      </c>
      <c r="B207" s="8" t="s">
        <v>417</v>
      </c>
      <c r="C207" s="8" t="s">
        <v>422</v>
      </c>
      <c r="D207" s="8" t="s">
        <v>277</v>
      </c>
      <c r="E207" s="8" t="s">
        <v>277</v>
      </c>
      <c r="F207" s="8" t="s">
        <v>316</v>
      </c>
      <c r="G207" s="8" t="s">
        <v>423</v>
      </c>
      <c r="H207" s="8" t="s">
        <v>27</v>
      </c>
      <c r="I207" s="8" t="s">
        <v>28</v>
      </c>
      <c r="J207" s="8" t="s">
        <v>192</v>
      </c>
      <c r="K207" s="8" t="s">
        <v>30</v>
      </c>
      <c r="L207" s="8" t="s">
        <v>192</v>
      </c>
      <c r="M207" s="8" t="s">
        <v>316</v>
      </c>
      <c r="N207" s="8" t="s">
        <v>31</v>
      </c>
      <c r="O207" s="1" t="str">
        <f>VLOOKUP(C207,[1]Sheet2!A:C,2,FALSE)</f>
        <v>立充充电宝取机柜-物流服务</v>
      </c>
      <c r="P207" s="1" t="str">
        <f>VLOOKUP(C207,[1]Sheet2!G:H,2,FALSE)</f>
        <v>136****7868</v>
      </c>
      <c r="Q207" s="31" t="s">
        <v>281</v>
      </c>
    </row>
    <row r="208" s="1" customFormat="1" spans="1:17">
      <c r="A208" s="8" t="s">
        <v>424</v>
      </c>
      <c r="B208" s="8" t="s">
        <v>417</v>
      </c>
      <c r="C208" s="8" t="s">
        <v>405</v>
      </c>
      <c r="D208" s="8" t="s">
        <v>399</v>
      </c>
      <c r="E208" s="8" t="s">
        <v>399</v>
      </c>
      <c r="F208" s="8" t="s">
        <v>392</v>
      </c>
      <c r="G208" s="8" t="s">
        <v>34</v>
      </c>
      <c r="H208" s="8" t="s">
        <v>27</v>
      </c>
      <c r="I208" s="8" t="s">
        <v>69</v>
      </c>
      <c r="J208" s="8" t="s">
        <v>70</v>
      </c>
      <c r="K208" s="8" t="s">
        <v>30</v>
      </c>
      <c r="L208" s="8" t="s">
        <v>70</v>
      </c>
      <c r="M208" s="8" t="s">
        <v>392</v>
      </c>
      <c r="N208" s="8" t="s">
        <v>71</v>
      </c>
      <c r="O208" s="1" t="str">
        <f>VLOOKUP(C208,[1]Sheet2!A:C,2,FALSE)</f>
        <v>取宝-物流服务</v>
      </c>
      <c r="P208" s="1" t="str">
        <f>VLOOKUP(C208,[1]Sheet2!G:H,2,FALSE)</f>
        <v>137****1781</v>
      </c>
      <c r="Q208" s="31" t="s">
        <v>393</v>
      </c>
    </row>
    <row r="209" s="1" customFormat="1" spans="1:17">
      <c r="A209" s="8" t="s">
        <v>425</v>
      </c>
      <c r="B209" s="8" t="s">
        <v>417</v>
      </c>
      <c r="C209" s="8" t="s">
        <v>407</v>
      </c>
      <c r="D209" s="8" t="s">
        <v>390</v>
      </c>
      <c r="E209" s="8" t="s">
        <v>390</v>
      </c>
      <c r="F209" s="8" t="s">
        <v>392</v>
      </c>
      <c r="G209" s="8" t="s">
        <v>34</v>
      </c>
      <c r="H209" s="8" t="s">
        <v>27</v>
      </c>
      <c r="I209" s="8" t="s">
        <v>69</v>
      </c>
      <c r="J209" s="8" t="s">
        <v>70</v>
      </c>
      <c r="K209" s="8" t="s">
        <v>30</v>
      </c>
      <c r="L209" s="8" t="s">
        <v>70</v>
      </c>
      <c r="M209" s="8" t="s">
        <v>392</v>
      </c>
      <c r="N209" s="8" t="s">
        <v>71</v>
      </c>
      <c r="O209" s="1" t="str">
        <f>VLOOKUP(C209,[1]Sheet2!A:C,2,FALSE)</f>
        <v>取宝-物流服务</v>
      </c>
      <c r="P209" s="1" t="str">
        <f>VLOOKUP(C209,[1]Sheet2!G:H,2,FALSE)</f>
        <v>137****1781</v>
      </c>
      <c r="Q209" s="31" t="s">
        <v>393</v>
      </c>
    </row>
    <row r="210" s="1" customFormat="1" spans="1:17">
      <c r="A210" s="8" t="s">
        <v>426</v>
      </c>
      <c r="B210" s="8" t="s">
        <v>427</v>
      </c>
      <c r="C210" s="8" t="s">
        <v>428</v>
      </c>
      <c r="D210" s="8" t="s">
        <v>76</v>
      </c>
      <c r="E210" s="8" t="s">
        <v>45</v>
      </c>
      <c r="F210" s="8" t="s">
        <v>89</v>
      </c>
      <c r="G210" s="8" t="s">
        <v>26</v>
      </c>
      <c r="H210" s="8" t="s">
        <v>27</v>
      </c>
      <c r="I210" s="8" t="s">
        <v>28</v>
      </c>
      <c r="J210" s="8" t="s">
        <v>29</v>
      </c>
      <c r="K210" s="8" t="s">
        <v>30</v>
      </c>
      <c r="L210" s="8" t="s">
        <v>29</v>
      </c>
      <c r="M210" s="8" t="s">
        <v>90</v>
      </c>
      <c r="N210" s="8" t="s">
        <v>31</v>
      </c>
      <c r="O210" s="1" t="str">
        <f>VLOOKUP(C210,[1]Sheet2!A:C,2,FALSE)</f>
        <v>立充充电宝取机柜-仅服务</v>
      </c>
      <c r="P210" s="1" t="str">
        <f>VLOOKUP(C210,[1]Sheet2!G:H,2,FALSE)</f>
        <v>130****4667</v>
      </c>
      <c r="Q210" s="31" t="s">
        <v>77</v>
      </c>
    </row>
    <row r="211" s="1" customFormat="1" spans="1:17">
      <c r="A211" s="8" t="s">
        <v>429</v>
      </c>
      <c r="B211" s="8" t="s">
        <v>427</v>
      </c>
      <c r="C211" s="8" t="s">
        <v>428</v>
      </c>
      <c r="D211" s="8" t="s">
        <v>76</v>
      </c>
      <c r="E211" s="8" t="s">
        <v>45</v>
      </c>
      <c r="F211" s="8" t="s">
        <v>89</v>
      </c>
      <c r="G211" s="8" t="s">
        <v>34</v>
      </c>
      <c r="H211" s="8" t="s">
        <v>27</v>
      </c>
      <c r="I211" s="8" t="s">
        <v>28</v>
      </c>
      <c r="J211" s="8" t="s">
        <v>55</v>
      </c>
      <c r="K211" s="8" t="s">
        <v>30</v>
      </c>
      <c r="L211" s="8" t="s">
        <v>55</v>
      </c>
      <c r="M211" s="8" t="s">
        <v>90</v>
      </c>
      <c r="N211" s="8" t="s">
        <v>36</v>
      </c>
      <c r="O211" s="1" t="str">
        <f>VLOOKUP(C211,[1]Sheet2!A:C,2,FALSE)</f>
        <v>立充充电宝取机柜-仅服务</v>
      </c>
      <c r="P211" s="1" t="str">
        <f>VLOOKUP(C211,[1]Sheet2!G:H,2,FALSE)</f>
        <v>130****4667</v>
      </c>
      <c r="Q211" s="31" t="s">
        <v>77</v>
      </c>
    </row>
    <row r="212" s="1" customFormat="1" spans="1:17">
      <c r="A212" s="8" t="s">
        <v>430</v>
      </c>
      <c r="B212" s="8" t="s">
        <v>427</v>
      </c>
      <c r="C212" s="8" t="s">
        <v>431</v>
      </c>
      <c r="D212" s="8" t="s">
        <v>76</v>
      </c>
      <c r="E212" s="8" t="s">
        <v>45</v>
      </c>
      <c r="F212" s="8" t="s">
        <v>89</v>
      </c>
      <c r="G212" s="8" t="s">
        <v>26</v>
      </c>
      <c r="H212" s="8" t="s">
        <v>27</v>
      </c>
      <c r="I212" s="8" t="s">
        <v>28</v>
      </c>
      <c r="J212" s="8" t="s">
        <v>29</v>
      </c>
      <c r="K212" s="8" t="s">
        <v>30</v>
      </c>
      <c r="L212" s="8" t="s">
        <v>29</v>
      </c>
      <c r="M212" s="8" t="s">
        <v>90</v>
      </c>
      <c r="N212" s="8" t="s">
        <v>31</v>
      </c>
      <c r="O212" s="1" t="str">
        <f>VLOOKUP(C212,[1]Sheet2!A:C,2,FALSE)</f>
        <v>立充充电宝取机柜-仅服务</v>
      </c>
      <c r="P212" s="1" t="str">
        <f>VLOOKUP(C212,[1]Sheet2!G:H,2,FALSE)</f>
        <v>130****4667</v>
      </c>
      <c r="Q212" s="31" t="s">
        <v>77</v>
      </c>
    </row>
    <row r="213" s="1" customFormat="1" spans="1:17">
      <c r="A213" s="8" t="s">
        <v>432</v>
      </c>
      <c r="B213" s="8" t="s">
        <v>427</v>
      </c>
      <c r="C213" s="8" t="s">
        <v>431</v>
      </c>
      <c r="D213" s="8" t="s">
        <v>76</v>
      </c>
      <c r="E213" s="8" t="s">
        <v>45</v>
      </c>
      <c r="F213" s="8" t="s">
        <v>89</v>
      </c>
      <c r="G213" s="8" t="s">
        <v>34</v>
      </c>
      <c r="H213" s="8" t="s">
        <v>27</v>
      </c>
      <c r="I213" s="8" t="s">
        <v>28</v>
      </c>
      <c r="J213" s="8" t="s">
        <v>55</v>
      </c>
      <c r="K213" s="8" t="s">
        <v>30</v>
      </c>
      <c r="L213" s="8" t="s">
        <v>55</v>
      </c>
      <c r="M213" s="8" t="s">
        <v>90</v>
      </c>
      <c r="N213" s="8" t="s">
        <v>36</v>
      </c>
      <c r="O213" s="1" t="str">
        <f>VLOOKUP(C213,[1]Sheet2!A:C,2,FALSE)</f>
        <v>立充充电宝取机柜-仅服务</v>
      </c>
      <c r="P213" s="1" t="str">
        <f>VLOOKUP(C213,[1]Sheet2!G:H,2,FALSE)</f>
        <v>130****4667</v>
      </c>
      <c r="Q213" s="31" t="s">
        <v>77</v>
      </c>
    </row>
    <row r="214" s="1" customFormat="1" spans="1:17">
      <c r="A214" s="8" t="s">
        <v>433</v>
      </c>
      <c r="B214" s="8" t="s">
        <v>427</v>
      </c>
      <c r="C214" s="8" t="s">
        <v>434</v>
      </c>
      <c r="D214" s="8" t="s">
        <v>76</v>
      </c>
      <c r="E214" s="8" t="s">
        <v>45</v>
      </c>
      <c r="F214" s="8" t="s">
        <v>89</v>
      </c>
      <c r="G214" s="8" t="s">
        <v>435</v>
      </c>
      <c r="H214" s="8" t="s">
        <v>27</v>
      </c>
      <c r="I214" s="8" t="s">
        <v>28</v>
      </c>
      <c r="J214" s="8" t="s">
        <v>436</v>
      </c>
      <c r="K214" s="8" t="s">
        <v>30</v>
      </c>
      <c r="L214" s="8" t="s">
        <v>436</v>
      </c>
      <c r="M214" s="8" t="s">
        <v>90</v>
      </c>
      <c r="N214" s="8" t="s">
        <v>31</v>
      </c>
      <c r="O214" s="1" t="s">
        <v>437</v>
      </c>
      <c r="P214" s="1" t="str">
        <f>VLOOKUP(C214,[1]Sheet2!G:H,2,FALSE)</f>
        <v>130****4667</v>
      </c>
      <c r="Q214" s="31" t="s">
        <v>77</v>
      </c>
    </row>
    <row r="215" s="1" customFormat="1" spans="1:17">
      <c r="A215" s="8" t="s">
        <v>438</v>
      </c>
      <c r="B215" s="8" t="s">
        <v>427</v>
      </c>
      <c r="C215" s="8" t="s">
        <v>434</v>
      </c>
      <c r="D215" s="8" t="s">
        <v>76</v>
      </c>
      <c r="E215" s="8" t="s">
        <v>45</v>
      </c>
      <c r="F215" s="8" t="s">
        <v>89</v>
      </c>
      <c r="G215" s="8" t="s">
        <v>34</v>
      </c>
      <c r="H215" s="8" t="s">
        <v>27</v>
      </c>
      <c r="I215" s="8" t="s">
        <v>28</v>
      </c>
      <c r="J215" s="8" t="s">
        <v>118</v>
      </c>
      <c r="K215" s="8" t="s">
        <v>30</v>
      </c>
      <c r="L215" s="8" t="s">
        <v>118</v>
      </c>
      <c r="M215" s="8" t="s">
        <v>90</v>
      </c>
      <c r="N215" s="8" t="s">
        <v>36</v>
      </c>
      <c r="O215" s="1" t="s">
        <v>437</v>
      </c>
      <c r="P215" s="1" t="str">
        <f>VLOOKUP(C215,[1]Sheet2!G:H,2,FALSE)</f>
        <v>130****4667</v>
      </c>
      <c r="Q215" s="31" t="s">
        <v>77</v>
      </c>
    </row>
    <row r="216" s="1" customFormat="1" spans="1:17">
      <c r="A216" s="8" t="s">
        <v>439</v>
      </c>
      <c r="B216" s="8" t="s">
        <v>427</v>
      </c>
      <c r="C216" s="8" t="s">
        <v>440</v>
      </c>
      <c r="D216" s="8" t="s">
        <v>76</v>
      </c>
      <c r="E216" s="8" t="s">
        <v>45</v>
      </c>
      <c r="F216" s="8" t="s">
        <v>89</v>
      </c>
      <c r="G216" s="8" t="s">
        <v>26</v>
      </c>
      <c r="H216" s="8" t="s">
        <v>27</v>
      </c>
      <c r="I216" s="8" t="s">
        <v>28</v>
      </c>
      <c r="J216" s="8" t="s">
        <v>29</v>
      </c>
      <c r="K216" s="8" t="s">
        <v>30</v>
      </c>
      <c r="L216" s="8" t="s">
        <v>29</v>
      </c>
      <c r="M216" s="8" t="s">
        <v>90</v>
      </c>
      <c r="N216" s="8" t="s">
        <v>31</v>
      </c>
      <c r="O216" s="1" t="str">
        <f>VLOOKUP(C216,[1]Sheet2!A:C,2,FALSE)</f>
        <v>立充充电宝取机柜-仅服务</v>
      </c>
      <c r="P216" s="1" t="str">
        <f>VLOOKUP(C216,[1]Sheet2!G:H,2,FALSE)</f>
        <v>130****4667</v>
      </c>
      <c r="Q216" s="31" t="s">
        <v>77</v>
      </c>
    </row>
    <row r="217" s="1" customFormat="1" spans="1:17">
      <c r="A217" s="8" t="s">
        <v>441</v>
      </c>
      <c r="B217" s="8" t="s">
        <v>427</v>
      </c>
      <c r="C217" s="8" t="s">
        <v>440</v>
      </c>
      <c r="D217" s="8" t="s">
        <v>76</v>
      </c>
      <c r="E217" s="8" t="s">
        <v>45</v>
      </c>
      <c r="F217" s="8" t="s">
        <v>89</v>
      </c>
      <c r="G217" s="8" t="s">
        <v>34</v>
      </c>
      <c r="H217" s="8" t="s">
        <v>27</v>
      </c>
      <c r="I217" s="8" t="s">
        <v>28</v>
      </c>
      <c r="J217" s="8" t="s">
        <v>55</v>
      </c>
      <c r="K217" s="8" t="s">
        <v>30</v>
      </c>
      <c r="L217" s="8" t="s">
        <v>55</v>
      </c>
      <c r="M217" s="8" t="s">
        <v>90</v>
      </c>
      <c r="N217" s="8" t="s">
        <v>36</v>
      </c>
      <c r="O217" s="1" t="str">
        <f>VLOOKUP(C217,[1]Sheet2!A:C,2,FALSE)</f>
        <v>立充充电宝取机柜-仅服务</v>
      </c>
      <c r="P217" s="1" t="str">
        <f>VLOOKUP(C217,[1]Sheet2!G:H,2,FALSE)</f>
        <v>130****4667</v>
      </c>
      <c r="Q217" s="31" t="s">
        <v>77</v>
      </c>
    </row>
    <row r="218" s="1" customFormat="1" spans="1:17">
      <c r="A218" s="8" t="s">
        <v>442</v>
      </c>
      <c r="B218" s="8" t="s">
        <v>427</v>
      </c>
      <c r="C218" s="8" t="s">
        <v>443</v>
      </c>
      <c r="D218" s="8" t="s">
        <v>76</v>
      </c>
      <c r="E218" s="8" t="s">
        <v>45</v>
      </c>
      <c r="F218" s="8" t="s">
        <v>89</v>
      </c>
      <c r="G218" s="8" t="s">
        <v>26</v>
      </c>
      <c r="H218" s="8" t="s">
        <v>27</v>
      </c>
      <c r="I218" s="8" t="s">
        <v>28</v>
      </c>
      <c r="J218" s="8" t="s">
        <v>29</v>
      </c>
      <c r="K218" s="8" t="s">
        <v>30</v>
      </c>
      <c r="L218" s="8" t="s">
        <v>29</v>
      </c>
      <c r="M218" s="8" t="s">
        <v>90</v>
      </c>
      <c r="N218" s="8" t="s">
        <v>31</v>
      </c>
      <c r="O218" s="1" t="str">
        <f>VLOOKUP(C218,[1]Sheet2!A:C,2,FALSE)</f>
        <v>立充充电宝取机柜-仅服务</v>
      </c>
      <c r="P218" s="1" t="str">
        <f>VLOOKUP(C218,[1]Sheet2!G:H,2,FALSE)</f>
        <v>130****4667</v>
      </c>
      <c r="Q218" s="31" t="s">
        <v>77</v>
      </c>
    </row>
    <row r="219" s="1" customFormat="1" spans="1:17">
      <c r="A219" s="8" t="s">
        <v>444</v>
      </c>
      <c r="B219" s="8" t="s">
        <v>427</v>
      </c>
      <c r="C219" s="8" t="s">
        <v>443</v>
      </c>
      <c r="D219" s="8" t="s">
        <v>76</v>
      </c>
      <c r="E219" s="8" t="s">
        <v>45</v>
      </c>
      <c r="F219" s="8" t="s">
        <v>89</v>
      </c>
      <c r="G219" s="8" t="s">
        <v>34</v>
      </c>
      <c r="H219" s="8" t="s">
        <v>27</v>
      </c>
      <c r="I219" s="8" t="s">
        <v>28</v>
      </c>
      <c r="J219" s="8" t="s">
        <v>55</v>
      </c>
      <c r="K219" s="8" t="s">
        <v>30</v>
      </c>
      <c r="L219" s="8" t="s">
        <v>55</v>
      </c>
      <c r="M219" s="8" t="s">
        <v>90</v>
      </c>
      <c r="N219" s="8" t="s">
        <v>36</v>
      </c>
      <c r="O219" s="1" t="str">
        <f>VLOOKUP(C219,[1]Sheet2!A:C,2,FALSE)</f>
        <v>立充充电宝取机柜-仅服务</v>
      </c>
      <c r="P219" s="1" t="str">
        <f>VLOOKUP(C219,[1]Sheet2!G:H,2,FALSE)</f>
        <v>130****4667</v>
      </c>
      <c r="Q219" s="31" t="s">
        <v>77</v>
      </c>
    </row>
    <row r="220" s="1" customFormat="1" spans="1:17">
      <c r="A220" s="8" t="s">
        <v>445</v>
      </c>
      <c r="B220" s="8" t="s">
        <v>427</v>
      </c>
      <c r="C220" s="8" t="s">
        <v>446</v>
      </c>
      <c r="D220" s="8" t="s">
        <v>76</v>
      </c>
      <c r="E220" s="8" t="s">
        <v>45</v>
      </c>
      <c r="F220" s="8" t="s">
        <v>89</v>
      </c>
      <c r="G220" s="8" t="s">
        <v>186</v>
      </c>
      <c r="H220" s="8" t="s">
        <v>27</v>
      </c>
      <c r="I220" s="8" t="s">
        <v>28</v>
      </c>
      <c r="J220" s="8" t="s">
        <v>192</v>
      </c>
      <c r="K220" s="8" t="s">
        <v>30</v>
      </c>
      <c r="L220" s="8" t="s">
        <v>192</v>
      </c>
      <c r="M220" s="8" t="s">
        <v>90</v>
      </c>
      <c r="N220" s="8" t="s">
        <v>31</v>
      </c>
      <c r="O220" s="1" t="str">
        <f>VLOOKUP(C220,[1]Sheet2!A:C,2,FALSE)</f>
        <v>立充充电宝取机柜-仅服务</v>
      </c>
      <c r="P220" s="1" t="str">
        <f>VLOOKUP(C220,[1]Sheet2!G:H,2,FALSE)</f>
        <v>130****4667</v>
      </c>
      <c r="Q220" s="31" t="s">
        <v>77</v>
      </c>
    </row>
    <row r="221" s="1" customFormat="1" spans="1:17">
      <c r="A221" s="8" t="s">
        <v>447</v>
      </c>
      <c r="B221" s="8" t="s">
        <v>427</v>
      </c>
      <c r="C221" s="8" t="s">
        <v>446</v>
      </c>
      <c r="D221" s="8" t="s">
        <v>76</v>
      </c>
      <c r="E221" s="8" t="s">
        <v>45</v>
      </c>
      <c r="F221" s="8" t="s">
        <v>89</v>
      </c>
      <c r="G221" s="8" t="s">
        <v>34</v>
      </c>
      <c r="H221" s="8" t="s">
        <v>27</v>
      </c>
      <c r="I221" s="8" t="s">
        <v>28</v>
      </c>
      <c r="J221" s="8" t="s">
        <v>189</v>
      </c>
      <c r="K221" s="8" t="s">
        <v>30</v>
      </c>
      <c r="L221" s="8" t="s">
        <v>189</v>
      </c>
      <c r="M221" s="8" t="s">
        <v>90</v>
      </c>
      <c r="N221" s="8" t="s">
        <v>36</v>
      </c>
      <c r="O221" s="1" t="str">
        <f>VLOOKUP(C221,[1]Sheet2!A:C,2,FALSE)</f>
        <v>立充充电宝取机柜-仅服务</v>
      </c>
      <c r="P221" s="1" t="str">
        <f>VLOOKUP(C221,[1]Sheet2!G:H,2,FALSE)</f>
        <v>130****4667</v>
      </c>
      <c r="Q221" s="31" t="s">
        <v>77</v>
      </c>
    </row>
    <row r="222" s="1" customFormat="1" spans="1:17">
      <c r="A222" s="8" t="s">
        <v>448</v>
      </c>
      <c r="B222" s="8" t="s">
        <v>427</v>
      </c>
      <c r="C222" s="8" t="s">
        <v>449</v>
      </c>
      <c r="D222" s="8" t="s">
        <v>24</v>
      </c>
      <c r="E222" s="8" t="s">
        <v>24</v>
      </c>
      <c r="F222" s="8" t="s">
        <v>450</v>
      </c>
      <c r="G222" s="8" t="s">
        <v>26</v>
      </c>
      <c r="H222" s="8" t="s">
        <v>27</v>
      </c>
      <c r="I222" s="8" t="s">
        <v>28</v>
      </c>
      <c r="J222" s="8" t="s">
        <v>47</v>
      </c>
      <c r="K222" s="8" t="s">
        <v>30</v>
      </c>
      <c r="L222" s="8" t="s">
        <v>47</v>
      </c>
      <c r="M222" s="8" t="s">
        <v>177</v>
      </c>
      <c r="N222" s="8" t="s">
        <v>31</v>
      </c>
      <c r="O222" s="1" t="str">
        <f>VLOOKUP(C222,[1]Sheet2!A:C,2,FALSE)</f>
        <v>补宝-物流服务</v>
      </c>
      <c r="P222" s="1" t="str">
        <f>VLOOKUP(C222,[1]Sheet2!G:H,2,FALSE)</f>
        <v>134****6101</v>
      </c>
      <c r="Q222" s="31" t="s">
        <v>32</v>
      </c>
    </row>
    <row r="223" s="1" customFormat="1" spans="1:17">
      <c r="A223" s="8" t="s">
        <v>451</v>
      </c>
      <c r="B223" s="8" t="s">
        <v>427</v>
      </c>
      <c r="C223" s="8" t="s">
        <v>452</v>
      </c>
      <c r="D223" s="8" t="s">
        <v>24</v>
      </c>
      <c r="E223" s="8" t="s">
        <v>24</v>
      </c>
      <c r="F223" s="8" t="s">
        <v>450</v>
      </c>
      <c r="G223" s="8" t="s">
        <v>26</v>
      </c>
      <c r="H223" s="8" t="s">
        <v>27</v>
      </c>
      <c r="I223" s="8" t="s">
        <v>28</v>
      </c>
      <c r="J223" s="8" t="s">
        <v>47</v>
      </c>
      <c r="K223" s="8" t="s">
        <v>30</v>
      </c>
      <c r="L223" s="8" t="s">
        <v>47</v>
      </c>
      <c r="M223" s="8" t="s">
        <v>177</v>
      </c>
      <c r="N223" s="8" t="s">
        <v>31</v>
      </c>
      <c r="O223" s="1" t="str">
        <f>VLOOKUP(C223,[1]Sheet2!A:C,2,FALSE)</f>
        <v>补宝-物流服务</v>
      </c>
      <c r="P223" s="1" t="str">
        <f>VLOOKUP(C223,[1]Sheet2!G:H,2,FALSE)</f>
        <v>134****6101</v>
      </c>
      <c r="Q223" s="31" t="s">
        <v>32</v>
      </c>
    </row>
    <row r="224" s="1" customFormat="1" spans="1:17">
      <c r="A224" s="8" t="s">
        <v>453</v>
      </c>
      <c r="B224" s="8" t="s">
        <v>427</v>
      </c>
      <c r="C224" s="8" t="s">
        <v>454</v>
      </c>
      <c r="D224" s="8" t="s">
        <v>24</v>
      </c>
      <c r="E224" s="8" t="s">
        <v>24</v>
      </c>
      <c r="F224" s="8" t="s">
        <v>176</v>
      </c>
      <c r="G224" s="8" t="s">
        <v>26</v>
      </c>
      <c r="H224" s="8" t="s">
        <v>27</v>
      </c>
      <c r="I224" s="8" t="s">
        <v>28</v>
      </c>
      <c r="J224" s="8" t="s">
        <v>47</v>
      </c>
      <c r="K224" s="8" t="s">
        <v>30</v>
      </c>
      <c r="L224" s="8" t="s">
        <v>47</v>
      </c>
      <c r="M224" s="8" t="s">
        <v>176</v>
      </c>
      <c r="N224" s="8" t="s">
        <v>31</v>
      </c>
      <c r="O224" s="1" t="str">
        <f>VLOOKUP(C224,[1]Sheet2!A:C,2,FALSE)</f>
        <v>补宝-物流服务</v>
      </c>
      <c r="P224" s="1" t="str">
        <f>VLOOKUP(C224,[1]Sheet2!G:H,2,FALSE)</f>
        <v>134****6101</v>
      </c>
      <c r="Q224" s="31" t="s">
        <v>32</v>
      </c>
    </row>
    <row r="225" s="1" customFormat="1" spans="1:17">
      <c r="A225" s="8" t="s">
        <v>455</v>
      </c>
      <c r="B225" s="8" t="s">
        <v>427</v>
      </c>
      <c r="C225" s="8" t="s">
        <v>456</v>
      </c>
      <c r="D225" s="8" t="s">
        <v>24</v>
      </c>
      <c r="E225" s="8" t="s">
        <v>24</v>
      </c>
      <c r="F225" s="8" t="s">
        <v>176</v>
      </c>
      <c r="G225" s="8" t="s">
        <v>26</v>
      </c>
      <c r="H225" s="8" t="s">
        <v>27</v>
      </c>
      <c r="I225" s="8" t="s">
        <v>28</v>
      </c>
      <c r="J225" s="8" t="s">
        <v>47</v>
      </c>
      <c r="K225" s="8" t="s">
        <v>30</v>
      </c>
      <c r="L225" s="8" t="s">
        <v>47</v>
      </c>
      <c r="M225" s="8" t="s">
        <v>176</v>
      </c>
      <c r="N225" s="8" t="s">
        <v>31</v>
      </c>
      <c r="O225" s="1" t="str">
        <f>VLOOKUP(C225,[1]Sheet2!A:C,2,FALSE)</f>
        <v>补宝-物流服务</v>
      </c>
      <c r="P225" s="1" t="str">
        <f>VLOOKUP(C225,[1]Sheet2!G:H,2,FALSE)</f>
        <v>134****6101</v>
      </c>
      <c r="Q225" s="31" t="s">
        <v>32</v>
      </c>
    </row>
    <row r="226" s="1" customFormat="1" spans="1:17">
      <c r="A226" s="8" t="s">
        <v>457</v>
      </c>
      <c r="B226" s="8" t="s">
        <v>427</v>
      </c>
      <c r="C226" s="8" t="s">
        <v>422</v>
      </c>
      <c r="D226" s="8" t="s">
        <v>277</v>
      </c>
      <c r="E226" s="8" t="s">
        <v>277</v>
      </c>
      <c r="F226" s="8" t="s">
        <v>316</v>
      </c>
      <c r="G226" s="8" t="s">
        <v>34</v>
      </c>
      <c r="H226" s="8" t="s">
        <v>27</v>
      </c>
      <c r="I226" s="8" t="s">
        <v>69</v>
      </c>
      <c r="J226" s="8" t="s">
        <v>84</v>
      </c>
      <c r="K226" s="8" t="s">
        <v>30</v>
      </c>
      <c r="L226" s="8" t="s">
        <v>84</v>
      </c>
      <c r="M226" s="8" t="s">
        <v>316</v>
      </c>
      <c r="N226" s="8" t="s">
        <v>71</v>
      </c>
      <c r="O226" s="1" t="str">
        <f>VLOOKUP(C226,[1]Sheet2!A:C,2,FALSE)</f>
        <v>立充充电宝取机柜-物流服务</v>
      </c>
      <c r="P226" s="1" t="str">
        <f>VLOOKUP(C226,[1]Sheet2!G:H,2,FALSE)</f>
        <v>136****7868</v>
      </c>
      <c r="Q226" s="31" t="s">
        <v>281</v>
      </c>
    </row>
    <row r="227" s="1" customFormat="1" spans="1:17">
      <c r="A227" s="8" t="s">
        <v>458</v>
      </c>
      <c r="B227" s="8" t="s">
        <v>459</v>
      </c>
      <c r="C227" s="8" t="s">
        <v>460</v>
      </c>
      <c r="D227" s="8" t="s">
        <v>24</v>
      </c>
      <c r="E227" s="8" t="s">
        <v>24</v>
      </c>
      <c r="F227" s="8" t="s">
        <v>461</v>
      </c>
      <c r="G227" s="8" t="s">
        <v>26</v>
      </c>
      <c r="H227" s="8" t="s">
        <v>27</v>
      </c>
      <c r="I227" s="8" t="s">
        <v>28</v>
      </c>
      <c r="J227" s="8" t="s">
        <v>47</v>
      </c>
      <c r="K227" s="8" t="s">
        <v>30</v>
      </c>
      <c r="L227" s="8" t="s">
        <v>47</v>
      </c>
      <c r="M227" s="8" t="s">
        <v>177</v>
      </c>
      <c r="N227" s="8" t="s">
        <v>31</v>
      </c>
      <c r="O227" s="1" t="str">
        <f>VLOOKUP(C227,[1]Sheet2!A:C,2,FALSE)</f>
        <v>补宝-物流服务</v>
      </c>
      <c r="P227" s="1" t="str">
        <f>VLOOKUP(C227,[1]Sheet2!G:H,2,FALSE)</f>
        <v>134****6101</v>
      </c>
      <c r="Q227" s="31" t="s">
        <v>32</v>
      </c>
    </row>
    <row r="228" s="1" customFormat="1" spans="1:17">
      <c r="A228" s="8" t="s">
        <v>462</v>
      </c>
      <c r="B228" s="8" t="s">
        <v>463</v>
      </c>
      <c r="C228" s="8" t="s">
        <v>449</v>
      </c>
      <c r="D228" s="8" t="s">
        <v>24</v>
      </c>
      <c r="E228" s="8" t="s">
        <v>24</v>
      </c>
      <c r="F228" s="8" t="s">
        <v>450</v>
      </c>
      <c r="G228" s="8" t="s">
        <v>34</v>
      </c>
      <c r="H228" s="8" t="s">
        <v>27</v>
      </c>
      <c r="I228" s="8" t="s">
        <v>69</v>
      </c>
      <c r="J228" s="8" t="s">
        <v>70</v>
      </c>
      <c r="K228" s="8" t="s">
        <v>30</v>
      </c>
      <c r="L228" s="8" t="s">
        <v>70</v>
      </c>
      <c r="M228" s="8" t="s">
        <v>177</v>
      </c>
      <c r="N228" s="8" t="s">
        <v>219</v>
      </c>
      <c r="O228" s="1" t="str">
        <f>VLOOKUP(C228,[1]Sheet2!A:C,2,FALSE)</f>
        <v>补宝-物流服务</v>
      </c>
      <c r="P228" s="1" t="str">
        <f>VLOOKUP(C228,[1]Sheet2!G:H,2,FALSE)</f>
        <v>134****6101</v>
      </c>
      <c r="Q228" s="31" t="s">
        <v>32</v>
      </c>
    </row>
    <row r="229" s="1" customFormat="1" spans="1:17">
      <c r="A229" s="8" t="s">
        <v>464</v>
      </c>
      <c r="B229" s="8" t="s">
        <v>463</v>
      </c>
      <c r="C229" s="8" t="s">
        <v>452</v>
      </c>
      <c r="D229" s="8" t="s">
        <v>24</v>
      </c>
      <c r="E229" s="8" t="s">
        <v>24</v>
      </c>
      <c r="F229" s="8" t="s">
        <v>450</v>
      </c>
      <c r="G229" s="8" t="s">
        <v>34</v>
      </c>
      <c r="H229" s="8" t="s">
        <v>27</v>
      </c>
      <c r="I229" s="8" t="s">
        <v>69</v>
      </c>
      <c r="J229" s="8" t="s">
        <v>70</v>
      </c>
      <c r="K229" s="8" t="s">
        <v>30</v>
      </c>
      <c r="L229" s="8" t="s">
        <v>70</v>
      </c>
      <c r="M229" s="8" t="s">
        <v>177</v>
      </c>
      <c r="N229" s="8" t="s">
        <v>219</v>
      </c>
      <c r="O229" s="1" t="str">
        <f>VLOOKUP(C229,[1]Sheet2!A:C,2,FALSE)</f>
        <v>补宝-物流服务</v>
      </c>
      <c r="P229" s="1" t="str">
        <f>VLOOKUP(C229,[1]Sheet2!G:H,2,FALSE)</f>
        <v>134****6101</v>
      </c>
      <c r="Q229" s="31" t="s">
        <v>32</v>
      </c>
    </row>
    <row r="230" s="1" customFormat="1" spans="1:17">
      <c r="A230" s="8" t="s">
        <v>465</v>
      </c>
      <c r="B230" s="8" t="s">
        <v>463</v>
      </c>
      <c r="C230" s="8" t="s">
        <v>454</v>
      </c>
      <c r="D230" s="8" t="s">
        <v>24</v>
      </c>
      <c r="E230" s="8" t="s">
        <v>24</v>
      </c>
      <c r="F230" s="8" t="s">
        <v>176</v>
      </c>
      <c r="G230" s="8" t="s">
        <v>34</v>
      </c>
      <c r="H230" s="8" t="s">
        <v>27</v>
      </c>
      <c r="I230" s="8" t="s">
        <v>69</v>
      </c>
      <c r="J230" s="8" t="s">
        <v>70</v>
      </c>
      <c r="K230" s="8" t="s">
        <v>30</v>
      </c>
      <c r="L230" s="8" t="s">
        <v>70</v>
      </c>
      <c r="M230" s="8" t="s">
        <v>176</v>
      </c>
      <c r="N230" s="8" t="s">
        <v>219</v>
      </c>
      <c r="O230" s="1" t="str">
        <f>VLOOKUP(C230,[1]Sheet2!A:C,2,FALSE)</f>
        <v>补宝-物流服务</v>
      </c>
      <c r="P230" s="1" t="str">
        <f>VLOOKUP(C230,[1]Sheet2!G:H,2,FALSE)</f>
        <v>134****6101</v>
      </c>
      <c r="Q230" s="31" t="s">
        <v>32</v>
      </c>
    </row>
    <row r="231" s="1" customFormat="1" spans="1:17">
      <c r="A231" s="8" t="s">
        <v>466</v>
      </c>
      <c r="B231" s="8" t="s">
        <v>463</v>
      </c>
      <c r="C231" s="8" t="s">
        <v>456</v>
      </c>
      <c r="D231" s="8" t="s">
        <v>24</v>
      </c>
      <c r="E231" s="8" t="s">
        <v>24</v>
      </c>
      <c r="F231" s="8" t="s">
        <v>176</v>
      </c>
      <c r="G231" s="8" t="s">
        <v>34</v>
      </c>
      <c r="H231" s="8" t="s">
        <v>27</v>
      </c>
      <c r="I231" s="8" t="s">
        <v>69</v>
      </c>
      <c r="J231" s="8" t="s">
        <v>70</v>
      </c>
      <c r="K231" s="8" t="s">
        <v>30</v>
      </c>
      <c r="L231" s="8" t="s">
        <v>70</v>
      </c>
      <c r="M231" s="8" t="s">
        <v>176</v>
      </c>
      <c r="N231" s="8" t="s">
        <v>219</v>
      </c>
      <c r="O231" s="1" t="str">
        <f>VLOOKUP(C231,[1]Sheet2!A:C,2,FALSE)</f>
        <v>补宝-物流服务</v>
      </c>
      <c r="P231" s="1" t="str">
        <f>VLOOKUP(C231,[1]Sheet2!G:H,2,FALSE)</f>
        <v>134****6101</v>
      </c>
      <c r="Q231" s="31" t="s">
        <v>32</v>
      </c>
    </row>
    <row r="232" s="1" customFormat="1" spans="1:17">
      <c r="A232" s="8" t="s">
        <v>467</v>
      </c>
      <c r="B232" s="8" t="s">
        <v>463</v>
      </c>
      <c r="C232" s="8" t="s">
        <v>460</v>
      </c>
      <c r="D232" s="8" t="s">
        <v>24</v>
      </c>
      <c r="E232" s="8" t="s">
        <v>24</v>
      </c>
      <c r="F232" s="8" t="s">
        <v>461</v>
      </c>
      <c r="G232" s="8" t="s">
        <v>34</v>
      </c>
      <c r="H232" s="8" t="s">
        <v>27</v>
      </c>
      <c r="I232" s="8" t="s">
        <v>69</v>
      </c>
      <c r="J232" s="8" t="s">
        <v>70</v>
      </c>
      <c r="K232" s="8" t="s">
        <v>30</v>
      </c>
      <c r="L232" s="8" t="s">
        <v>70</v>
      </c>
      <c r="M232" s="8" t="s">
        <v>177</v>
      </c>
      <c r="N232" s="8" t="s">
        <v>219</v>
      </c>
      <c r="O232" s="1" t="str">
        <f>VLOOKUP(C232,[1]Sheet2!A:C,2,FALSE)</f>
        <v>补宝-物流服务</v>
      </c>
      <c r="P232" s="1" t="str">
        <f>VLOOKUP(C232,[1]Sheet2!G:H,2,FALSE)</f>
        <v>134****6101</v>
      </c>
      <c r="Q232" s="31" t="s">
        <v>32</v>
      </c>
    </row>
    <row r="233" s="1" customFormat="1" spans="1:17">
      <c r="A233" s="8" t="s">
        <v>468</v>
      </c>
      <c r="B233" s="8" t="s">
        <v>463</v>
      </c>
      <c r="C233" s="8" t="s">
        <v>469</v>
      </c>
      <c r="D233" s="8" t="s">
        <v>137</v>
      </c>
      <c r="E233" s="8" t="s">
        <v>45</v>
      </c>
      <c r="F233" s="8" t="s">
        <v>46</v>
      </c>
      <c r="G233" s="8" t="s">
        <v>186</v>
      </c>
      <c r="H233" s="8" t="s">
        <v>27</v>
      </c>
      <c r="I233" s="8" t="s">
        <v>28</v>
      </c>
      <c r="J233" s="8" t="s">
        <v>95</v>
      </c>
      <c r="K233" s="8" t="s">
        <v>30</v>
      </c>
      <c r="L233" s="8" t="s">
        <v>95</v>
      </c>
      <c r="M233" s="8" t="s">
        <v>46</v>
      </c>
      <c r="N233" s="8" t="s">
        <v>31</v>
      </c>
      <c r="O233" s="1" t="str">
        <f>VLOOKUP(C233,[1]Sheet2!A:C,2,FALSE)</f>
        <v>立充充电宝取机柜-物流服务</v>
      </c>
      <c r="P233" s="1" t="str">
        <f>VLOOKUP(C233,[1]Sheet2!G:H,2,FALSE)</f>
        <v>186****6788</v>
      </c>
      <c r="Q233" s="12" t="s">
        <v>48</v>
      </c>
    </row>
    <row r="234" s="1" customFormat="1" spans="1:17">
      <c r="A234" s="8" t="s">
        <v>470</v>
      </c>
      <c r="B234" s="8" t="s">
        <v>463</v>
      </c>
      <c r="C234" s="8" t="s">
        <v>469</v>
      </c>
      <c r="D234" s="8" t="s">
        <v>137</v>
      </c>
      <c r="E234" s="8" t="s">
        <v>45</v>
      </c>
      <c r="F234" s="8" t="s">
        <v>46</v>
      </c>
      <c r="G234" s="8" t="s">
        <v>34</v>
      </c>
      <c r="H234" s="8" t="s">
        <v>27</v>
      </c>
      <c r="I234" s="8" t="s">
        <v>28</v>
      </c>
      <c r="J234" s="8" t="s">
        <v>189</v>
      </c>
      <c r="K234" s="8" t="s">
        <v>30</v>
      </c>
      <c r="L234" s="8" t="s">
        <v>189</v>
      </c>
      <c r="M234" s="8" t="s">
        <v>46</v>
      </c>
      <c r="N234" s="8" t="s">
        <v>36</v>
      </c>
      <c r="O234" s="1" t="str">
        <f>VLOOKUP(C234,[1]Sheet2!A:C,2,FALSE)</f>
        <v>立充充电宝取机柜-物流服务</v>
      </c>
      <c r="P234" s="1" t="str">
        <f>VLOOKUP(C234,[1]Sheet2!G:H,2,FALSE)</f>
        <v>186****6788</v>
      </c>
      <c r="Q234" s="12" t="s">
        <v>48</v>
      </c>
    </row>
    <row r="235" s="1" customFormat="1" spans="1:17">
      <c r="A235" s="8" t="s">
        <v>471</v>
      </c>
      <c r="B235" s="8" t="s">
        <v>463</v>
      </c>
      <c r="C235" s="8" t="s">
        <v>472</v>
      </c>
      <c r="D235" s="8" t="s">
        <v>137</v>
      </c>
      <c r="E235" s="8" t="s">
        <v>45</v>
      </c>
      <c r="F235" s="8" t="s">
        <v>46</v>
      </c>
      <c r="G235" s="8" t="s">
        <v>26</v>
      </c>
      <c r="H235" s="8" t="s">
        <v>27</v>
      </c>
      <c r="I235" s="8" t="s">
        <v>28</v>
      </c>
      <c r="J235" s="8" t="s">
        <v>113</v>
      </c>
      <c r="K235" s="8" t="s">
        <v>30</v>
      </c>
      <c r="L235" s="8" t="s">
        <v>113</v>
      </c>
      <c r="M235" s="8" t="s">
        <v>46</v>
      </c>
      <c r="N235" s="8" t="s">
        <v>31</v>
      </c>
      <c r="O235" s="1" t="str">
        <f>VLOOKUP(C235,[1]Sheet2!A:C,2,FALSE)</f>
        <v>取宝-物流服务</v>
      </c>
      <c r="P235" s="1" t="str">
        <f>VLOOKUP(C235,[1]Sheet2!G:H,2,FALSE)</f>
        <v>186****6788</v>
      </c>
      <c r="Q235" s="12" t="s">
        <v>48</v>
      </c>
    </row>
    <row r="236" s="1" customFormat="1" spans="1:17">
      <c r="A236" s="8" t="s">
        <v>473</v>
      </c>
      <c r="B236" s="8" t="s">
        <v>463</v>
      </c>
      <c r="C236" s="8" t="s">
        <v>472</v>
      </c>
      <c r="D236" s="8" t="s">
        <v>137</v>
      </c>
      <c r="E236" s="8" t="s">
        <v>45</v>
      </c>
      <c r="F236" s="8" t="s">
        <v>46</v>
      </c>
      <c r="G236" s="8" t="s">
        <v>34</v>
      </c>
      <c r="H236" s="8" t="s">
        <v>27</v>
      </c>
      <c r="I236" s="8" t="s">
        <v>28</v>
      </c>
      <c r="J236" s="8" t="s">
        <v>55</v>
      </c>
      <c r="K236" s="8" t="s">
        <v>30</v>
      </c>
      <c r="L236" s="8" t="s">
        <v>55</v>
      </c>
      <c r="M236" s="8" t="s">
        <v>46</v>
      </c>
      <c r="N236" s="8" t="s">
        <v>36</v>
      </c>
      <c r="O236" s="1" t="str">
        <f>VLOOKUP(C236,[1]Sheet2!A:C,2,FALSE)</f>
        <v>取宝-物流服务</v>
      </c>
      <c r="P236" s="1" t="str">
        <f>VLOOKUP(C236,[1]Sheet2!G:H,2,FALSE)</f>
        <v>186****6788</v>
      </c>
      <c r="Q236" s="12" t="s">
        <v>48</v>
      </c>
    </row>
    <row r="237" s="1" customFormat="1" spans="1:17">
      <c r="A237" s="8" t="s">
        <v>474</v>
      </c>
      <c r="B237" s="8" t="s">
        <v>463</v>
      </c>
      <c r="C237" s="8" t="s">
        <v>475</v>
      </c>
      <c r="D237" s="8" t="s">
        <v>137</v>
      </c>
      <c r="E237" s="8" t="s">
        <v>45</v>
      </c>
      <c r="F237" s="8" t="s">
        <v>46</v>
      </c>
      <c r="G237" s="8" t="s">
        <v>26</v>
      </c>
      <c r="H237" s="8" t="s">
        <v>27</v>
      </c>
      <c r="I237" s="8" t="s">
        <v>28</v>
      </c>
      <c r="J237" s="8" t="s">
        <v>113</v>
      </c>
      <c r="K237" s="8" t="s">
        <v>30</v>
      </c>
      <c r="L237" s="8" t="s">
        <v>113</v>
      </c>
      <c r="M237" s="8" t="s">
        <v>46</v>
      </c>
      <c r="N237" s="8" t="s">
        <v>31</v>
      </c>
      <c r="O237" s="1" t="str">
        <f>VLOOKUP(C237,[1]Sheet2!A:C,2,FALSE)</f>
        <v>取宝-物流服务</v>
      </c>
      <c r="P237" s="1" t="str">
        <f>VLOOKUP(C237,[1]Sheet2!G:H,2,FALSE)</f>
        <v>186****6788</v>
      </c>
      <c r="Q237" s="12" t="s">
        <v>48</v>
      </c>
    </row>
    <row r="238" s="1" customFormat="1" spans="1:17">
      <c r="A238" s="8" t="s">
        <v>476</v>
      </c>
      <c r="B238" s="8" t="s">
        <v>463</v>
      </c>
      <c r="C238" s="8" t="s">
        <v>475</v>
      </c>
      <c r="D238" s="8" t="s">
        <v>137</v>
      </c>
      <c r="E238" s="8" t="s">
        <v>45</v>
      </c>
      <c r="F238" s="8" t="s">
        <v>46</v>
      </c>
      <c r="G238" s="8" t="s">
        <v>34</v>
      </c>
      <c r="H238" s="8" t="s">
        <v>27</v>
      </c>
      <c r="I238" s="8" t="s">
        <v>28</v>
      </c>
      <c r="J238" s="8" t="s">
        <v>55</v>
      </c>
      <c r="K238" s="8" t="s">
        <v>30</v>
      </c>
      <c r="L238" s="8" t="s">
        <v>55</v>
      </c>
      <c r="M238" s="8" t="s">
        <v>46</v>
      </c>
      <c r="N238" s="8" t="s">
        <v>36</v>
      </c>
      <c r="O238" s="1" t="str">
        <f>VLOOKUP(C238,[1]Sheet2!A:C,2,FALSE)</f>
        <v>取宝-物流服务</v>
      </c>
      <c r="P238" s="1" t="str">
        <f>VLOOKUP(C238,[1]Sheet2!G:H,2,FALSE)</f>
        <v>186****6788</v>
      </c>
      <c r="Q238" s="12" t="s">
        <v>48</v>
      </c>
    </row>
    <row r="239" s="1" customFormat="1" spans="1:17">
      <c r="A239" s="8" t="s">
        <v>477</v>
      </c>
      <c r="B239" s="8" t="s">
        <v>463</v>
      </c>
      <c r="C239" s="8" t="s">
        <v>478</v>
      </c>
      <c r="D239" s="8" t="s">
        <v>76</v>
      </c>
      <c r="E239" s="8" t="s">
        <v>45</v>
      </c>
      <c r="F239" s="8" t="s">
        <v>89</v>
      </c>
      <c r="G239" s="8" t="s">
        <v>479</v>
      </c>
      <c r="H239" s="8" t="s">
        <v>27</v>
      </c>
      <c r="I239" s="8" t="s">
        <v>28</v>
      </c>
      <c r="J239" s="8" t="s">
        <v>201</v>
      </c>
      <c r="K239" s="8" t="s">
        <v>30</v>
      </c>
      <c r="L239" s="8" t="s">
        <v>201</v>
      </c>
      <c r="M239" s="8" t="s">
        <v>90</v>
      </c>
      <c r="N239" s="8" t="s">
        <v>31</v>
      </c>
      <c r="O239" s="1" t="str">
        <f>VLOOKUP(C239,[1]Sheet2!A:C,2,FALSE)</f>
        <v>立充充电宝取机柜-仅服务</v>
      </c>
      <c r="P239" s="1" t="str">
        <f>VLOOKUP(C239,[1]Sheet2!G:H,2,FALSE)</f>
        <v>130****4667</v>
      </c>
      <c r="Q239" s="31" t="s">
        <v>77</v>
      </c>
    </row>
    <row r="240" s="1" customFormat="1" spans="1:17">
      <c r="A240" s="8" t="s">
        <v>480</v>
      </c>
      <c r="B240" s="8" t="s">
        <v>463</v>
      </c>
      <c r="C240" s="8" t="s">
        <v>478</v>
      </c>
      <c r="D240" s="8" t="s">
        <v>76</v>
      </c>
      <c r="E240" s="8" t="s">
        <v>45</v>
      </c>
      <c r="F240" s="8" t="s">
        <v>89</v>
      </c>
      <c r="G240" s="8" t="s">
        <v>34</v>
      </c>
      <c r="H240" s="8" t="s">
        <v>27</v>
      </c>
      <c r="I240" s="8" t="s">
        <v>28</v>
      </c>
      <c r="J240" s="8" t="s">
        <v>481</v>
      </c>
      <c r="K240" s="8" t="s">
        <v>30</v>
      </c>
      <c r="L240" s="8" t="s">
        <v>481</v>
      </c>
      <c r="M240" s="8" t="s">
        <v>90</v>
      </c>
      <c r="N240" s="8" t="s">
        <v>36</v>
      </c>
      <c r="O240" s="1" t="str">
        <f>VLOOKUP(C240,[1]Sheet2!A:C,2,FALSE)</f>
        <v>立充充电宝取机柜-仅服务</v>
      </c>
      <c r="P240" s="1" t="str">
        <f>VLOOKUP(C240,[1]Sheet2!G:H,2,FALSE)</f>
        <v>130****4667</v>
      </c>
      <c r="Q240" s="31" t="s">
        <v>77</v>
      </c>
    </row>
    <row r="241" s="1" customFormat="1" spans="1:17">
      <c r="A241" s="8" t="s">
        <v>482</v>
      </c>
      <c r="B241" s="8" t="s">
        <v>463</v>
      </c>
      <c r="C241" s="8" t="s">
        <v>483</v>
      </c>
      <c r="D241" s="8" t="s">
        <v>76</v>
      </c>
      <c r="E241" s="8" t="s">
        <v>45</v>
      </c>
      <c r="F241" s="8" t="s">
        <v>89</v>
      </c>
      <c r="G241" s="8" t="s">
        <v>26</v>
      </c>
      <c r="H241" s="8" t="s">
        <v>27</v>
      </c>
      <c r="I241" s="8" t="s">
        <v>28</v>
      </c>
      <c r="J241" s="8" t="s">
        <v>29</v>
      </c>
      <c r="K241" s="8" t="s">
        <v>30</v>
      </c>
      <c r="L241" s="8" t="s">
        <v>29</v>
      </c>
      <c r="M241" s="8" t="s">
        <v>90</v>
      </c>
      <c r="N241" s="8" t="s">
        <v>31</v>
      </c>
      <c r="O241" s="1" t="str">
        <f>VLOOKUP(C241,[1]Sheet2!A:C,2,FALSE)</f>
        <v>立充充电宝取机柜-仅服务</v>
      </c>
      <c r="P241" s="1" t="str">
        <f>VLOOKUP(C241,[1]Sheet2!G:H,2,FALSE)</f>
        <v>130****4667</v>
      </c>
      <c r="Q241" s="31" t="s">
        <v>77</v>
      </c>
    </row>
    <row r="242" s="1" customFormat="1" spans="1:17">
      <c r="A242" s="8" t="s">
        <v>484</v>
      </c>
      <c r="B242" s="8" t="s">
        <v>463</v>
      </c>
      <c r="C242" s="8" t="s">
        <v>483</v>
      </c>
      <c r="D242" s="8" t="s">
        <v>76</v>
      </c>
      <c r="E242" s="8" t="s">
        <v>45</v>
      </c>
      <c r="F242" s="8" t="s">
        <v>89</v>
      </c>
      <c r="G242" s="8" t="s">
        <v>34</v>
      </c>
      <c r="H242" s="8" t="s">
        <v>27</v>
      </c>
      <c r="I242" s="8" t="s">
        <v>28</v>
      </c>
      <c r="J242" s="8" t="s">
        <v>35</v>
      </c>
      <c r="K242" s="8" t="s">
        <v>30</v>
      </c>
      <c r="L242" s="8" t="s">
        <v>35</v>
      </c>
      <c r="M242" s="8" t="s">
        <v>90</v>
      </c>
      <c r="N242" s="8" t="s">
        <v>36</v>
      </c>
      <c r="O242" s="1" t="str">
        <f>VLOOKUP(C242,[1]Sheet2!A:C,2,FALSE)</f>
        <v>立充充电宝取机柜-仅服务</v>
      </c>
      <c r="P242" s="1" t="str">
        <f>VLOOKUP(C242,[1]Sheet2!G:H,2,FALSE)</f>
        <v>130****4667</v>
      </c>
      <c r="Q242" s="31" t="s">
        <v>77</v>
      </c>
    </row>
    <row r="243" s="1" customFormat="1" spans="1:17">
      <c r="A243" s="8" t="s">
        <v>485</v>
      </c>
      <c r="B243" s="8" t="s">
        <v>486</v>
      </c>
      <c r="C243" s="8" t="s">
        <v>487</v>
      </c>
      <c r="D243" s="8" t="s">
        <v>24</v>
      </c>
      <c r="E243" s="8" t="s">
        <v>24</v>
      </c>
      <c r="F243" s="8" t="s">
        <v>488</v>
      </c>
      <c r="G243" s="8" t="s">
        <v>26</v>
      </c>
      <c r="H243" s="8" t="s">
        <v>27</v>
      </c>
      <c r="I243" s="8" t="s">
        <v>69</v>
      </c>
      <c r="J243" s="8" t="s">
        <v>47</v>
      </c>
      <c r="K243" s="8" t="s">
        <v>30</v>
      </c>
      <c r="L243" s="8" t="s">
        <v>47</v>
      </c>
      <c r="M243" s="8" t="s">
        <v>177</v>
      </c>
      <c r="N243" s="8" t="s">
        <v>31</v>
      </c>
      <c r="O243" s="1" t="str">
        <f>VLOOKUP(C243,[1]Sheet2!A:C,2,FALSE)</f>
        <v>补宝-物流服务</v>
      </c>
      <c r="P243" s="1" t="str">
        <f>VLOOKUP(C243,[1]Sheet2!G:H,2,FALSE)</f>
        <v>134****6101</v>
      </c>
      <c r="Q243" s="31" t="s">
        <v>32</v>
      </c>
    </row>
    <row r="244" s="1" customFormat="1" spans="1:17">
      <c r="A244" s="8" t="s">
        <v>489</v>
      </c>
      <c r="B244" s="8" t="s">
        <v>486</v>
      </c>
      <c r="C244" s="8" t="s">
        <v>490</v>
      </c>
      <c r="D244" s="8" t="s">
        <v>24</v>
      </c>
      <c r="E244" s="8" t="s">
        <v>24</v>
      </c>
      <c r="F244" s="8" t="s">
        <v>488</v>
      </c>
      <c r="G244" s="8" t="s">
        <v>26</v>
      </c>
      <c r="H244" s="8" t="s">
        <v>27</v>
      </c>
      <c r="I244" s="8" t="s">
        <v>69</v>
      </c>
      <c r="J244" s="8" t="s">
        <v>47</v>
      </c>
      <c r="K244" s="8" t="s">
        <v>30</v>
      </c>
      <c r="L244" s="8" t="s">
        <v>47</v>
      </c>
      <c r="M244" s="8" t="s">
        <v>177</v>
      </c>
      <c r="N244" s="8" t="s">
        <v>31</v>
      </c>
      <c r="O244" s="1" t="str">
        <f>VLOOKUP(C244,[1]Sheet2!A:C,2,FALSE)</f>
        <v>补宝-物流服务</v>
      </c>
      <c r="P244" s="1" t="str">
        <f>VLOOKUP(C244,[1]Sheet2!G:H,2,FALSE)</f>
        <v>134****6101</v>
      </c>
      <c r="Q244" s="31" t="s">
        <v>32</v>
      </c>
    </row>
    <row r="245" s="1" customFormat="1" spans="1:17">
      <c r="A245" s="8" t="s">
        <v>491</v>
      </c>
      <c r="B245" s="8" t="s">
        <v>486</v>
      </c>
      <c r="C245" s="8" t="s">
        <v>492</v>
      </c>
      <c r="D245" s="8" t="s">
        <v>45</v>
      </c>
      <c r="E245" s="8" t="s">
        <v>45</v>
      </c>
      <c r="F245" s="8" t="s">
        <v>493</v>
      </c>
      <c r="G245" s="8" t="s">
        <v>26</v>
      </c>
      <c r="H245" s="8" t="s">
        <v>27</v>
      </c>
      <c r="I245" s="8" t="s">
        <v>28</v>
      </c>
      <c r="J245" s="8" t="s">
        <v>47</v>
      </c>
      <c r="K245" s="8" t="s">
        <v>30</v>
      </c>
      <c r="L245" s="8" t="s">
        <v>47</v>
      </c>
      <c r="M245" s="8" t="s">
        <v>46</v>
      </c>
      <c r="N245" s="8" t="s">
        <v>31</v>
      </c>
      <c r="O245" s="1" t="str">
        <f>VLOOKUP(C245,[1]Sheet2!A:C,2,FALSE)</f>
        <v>补宝-物流服务</v>
      </c>
      <c r="P245" s="1" t="str">
        <f>VLOOKUP(C245,[1]Sheet2!G:H,2,FALSE)</f>
        <v>186****6788</v>
      </c>
      <c r="Q245" s="12" t="s">
        <v>48</v>
      </c>
    </row>
    <row r="246" s="1" customFormat="1" spans="1:17">
      <c r="A246" s="8" t="s">
        <v>494</v>
      </c>
      <c r="B246" s="8" t="s">
        <v>486</v>
      </c>
      <c r="C246" s="8" t="s">
        <v>495</v>
      </c>
      <c r="D246" s="8" t="s">
        <v>45</v>
      </c>
      <c r="E246" s="8" t="s">
        <v>45</v>
      </c>
      <c r="F246" s="8" t="s">
        <v>493</v>
      </c>
      <c r="G246" s="8" t="s">
        <v>26</v>
      </c>
      <c r="H246" s="8" t="s">
        <v>27</v>
      </c>
      <c r="I246" s="8" t="s">
        <v>28</v>
      </c>
      <c r="J246" s="8" t="s">
        <v>47</v>
      </c>
      <c r="K246" s="8" t="s">
        <v>30</v>
      </c>
      <c r="L246" s="8" t="s">
        <v>47</v>
      </c>
      <c r="M246" s="8" t="s">
        <v>46</v>
      </c>
      <c r="N246" s="8" t="s">
        <v>31</v>
      </c>
      <c r="O246" s="1" t="str">
        <f>VLOOKUP(C246,[1]Sheet2!A:C,2,FALSE)</f>
        <v>补宝-物流服务</v>
      </c>
      <c r="P246" s="1" t="str">
        <f>VLOOKUP(C246,[1]Sheet2!G:H,2,FALSE)</f>
        <v>186****6788</v>
      </c>
      <c r="Q246" s="12" t="s">
        <v>48</v>
      </c>
    </row>
    <row r="247" s="1" customFormat="1" spans="1:17">
      <c r="A247" s="8" t="s">
        <v>496</v>
      </c>
      <c r="B247" s="8" t="s">
        <v>486</v>
      </c>
      <c r="C247" s="8" t="s">
        <v>497</v>
      </c>
      <c r="D247" s="8" t="s">
        <v>45</v>
      </c>
      <c r="E247" s="8" t="s">
        <v>76</v>
      </c>
      <c r="F247" s="8" t="s">
        <v>362</v>
      </c>
      <c r="G247" s="8" t="s">
        <v>26</v>
      </c>
      <c r="H247" s="8" t="s">
        <v>27</v>
      </c>
      <c r="I247" s="8" t="s">
        <v>28</v>
      </c>
      <c r="J247" s="8" t="s">
        <v>29</v>
      </c>
      <c r="K247" s="8" t="s">
        <v>30</v>
      </c>
      <c r="L247" s="8" t="s">
        <v>29</v>
      </c>
      <c r="M247" s="8" t="s">
        <v>46</v>
      </c>
      <c r="N247" s="8" t="s">
        <v>31</v>
      </c>
      <c r="O247" s="1" t="str">
        <f>VLOOKUP(C247,[1]Sheet2!A:C,2,FALSE)</f>
        <v>取宝-仅物流</v>
      </c>
      <c r="P247" s="1" t="str">
        <f>VLOOKUP(C247,[1]Sheet2!G:H,2,FALSE)</f>
        <v>137****3998</v>
      </c>
      <c r="Q247" s="12" t="s">
        <v>498</v>
      </c>
    </row>
    <row r="248" s="1" customFormat="1" spans="1:17">
      <c r="A248" s="8" t="s">
        <v>499</v>
      </c>
      <c r="B248" s="8" t="s">
        <v>486</v>
      </c>
      <c r="C248" s="8" t="s">
        <v>500</v>
      </c>
      <c r="D248" s="8" t="s">
        <v>45</v>
      </c>
      <c r="E248" s="8" t="s">
        <v>45</v>
      </c>
      <c r="F248" s="8" t="s">
        <v>46</v>
      </c>
      <c r="G248" s="8" t="s">
        <v>501</v>
      </c>
      <c r="H248" s="8" t="s">
        <v>27</v>
      </c>
      <c r="I248" s="8" t="s">
        <v>28</v>
      </c>
      <c r="J248" s="8" t="s">
        <v>40</v>
      </c>
      <c r="K248" s="8" t="s">
        <v>30</v>
      </c>
      <c r="L248" s="8" t="s">
        <v>40</v>
      </c>
      <c r="M248" s="8" t="s">
        <v>46</v>
      </c>
      <c r="N248" s="8" t="s">
        <v>31</v>
      </c>
      <c r="O248" s="1" t="str">
        <f>VLOOKUP(C248,[1]Sheet2!A:C,2,FALSE)</f>
        <v>立充充电宝取机柜-物流服务</v>
      </c>
      <c r="P248" s="1" t="str">
        <f>VLOOKUP(C248,[1]Sheet2!G:H,2,FALSE)</f>
        <v>186****6788</v>
      </c>
      <c r="Q248" s="12" t="s">
        <v>48</v>
      </c>
    </row>
    <row r="249" s="1" customFormat="1" spans="1:17">
      <c r="A249" s="8" t="s">
        <v>502</v>
      </c>
      <c r="B249" s="8" t="s">
        <v>486</v>
      </c>
      <c r="C249" s="8" t="s">
        <v>500</v>
      </c>
      <c r="D249" s="8" t="s">
        <v>45</v>
      </c>
      <c r="E249" s="8" t="s">
        <v>45</v>
      </c>
      <c r="F249" s="8" t="s">
        <v>46</v>
      </c>
      <c r="G249" s="8" t="s">
        <v>34</v>
      </c>
      <c r="H249" s="8" t="s">
        <v>27</v>
      </c>
      <c r="I249" s="8" t="s">
        <v>28</v>
      </c>
      <c r="J249" s="8" t="s">
        <v>113</v>
      </c>
      <c r="K249" s="8" t="s">
        <v>30</v>
      </c>
      <c r="L249" s="8" t="s">
        <v>113</v>
      </c>
      <c r="M249" s="8" t="s">
        <v>46</v>
      </c>
      <c r="N249" s="8" t="s">
        <v>36</v>
      </c>
      <c r="O249" s="1" t="str">
        <f>VLOOKUP(C249,[1]Sheet2!A:C,2,FALSE)</f>
        <v>立充充电宝取机柜-物流服务</v>
      </c>
      <c r="P249" s="1" t="str">
        <f>VLOOKUP(C249,[1]Sheet2!G:H,2,FALSE)</f>
        <v>186****6788</v>
      </c>
      <c r="Q249" s="12" t="s">
        <v>48</v>
      </c>
    </row>
    <row r="250" s="1" customFormat="1" spans="1:17">
      <c r="A250" s="8" t="s">
        <v>503</v>
      </c>
      <c r="B250" s="8" t="s">
        <v>486</v>
      </c>
      <c r="C250" s="8" t="s">
        <v>504</v>
      </c>
      <c r="D250" s="8" t="s">
        <v>45</v>
      </c>
      <c r="E250" s="8" t="s">
        <v>45</v>
      </c>
      <c r="F250" s="8" t="s">
        <v>46</v>
      </c>
      <c r="G250" s="8" t="s">
        <v>186</v>
      </c>
      <c r="H250" s="8" t="s">
        <v>27</v>
      </c>
      <c r="I250" s="8" t="s">
        <v>28</v>
      </c>
      <c r="J250" s="8" t="s">
        <v>29</v>
      </c>
      <c r="K250" s="8" t="s">
        <v>30</v>
      </c>
      <c r="L250" s="8" t="s">
        <v>29</v>
      </c>
      <c r="M250" s="8" t="s">
        <v>46</v>
      </c>
      <c r="N250" s="8" t="s">
        <v>31</v>
      </c>
      <c r="O250" s="1" t="str">
        <f>VLOOKUP(C250,[1]Sheet2!A:C,2,FALSE)</f>
        <v>立充充电宝取机柜-物流服务</v>
      </c>
      <c r="P250" s="1" t="str">
        <f>VLOOKUP(C250,[1]Sheet2!G:H,2,FALSE)</f>
        <v>186****6788</v>
      </c>
      <c r="Q250" s="12" t="s">
        <v>48</v>
      </c>
    </row>
    <row r="251" s="1" customFormat="1" spans="1:17">
      <c r="A251" s="8" t="s">
        <v>505</v>
      </c>
      <c r="B251" s="8" t="s">
        <v>486</v>
      </c>
      <c r="C251" s="8" t="s">
        <v>504</v>
      </c>
      <c r="D251" s="8" t="s">
        <v>45</v>
      </c>
      <c r="E251" s="8" t="s">
        <v>45</v>
      </c>
      <c r="F251" s="8" t="s">
        <v>46</v>
      </c>
      <c r="G251" s="8" t="s">
        <v>34</v>
      </c>
      <c r="H251" s="8" t="s">
        <v>27</v>
      </c>
      <c r="I251" s="8" t="s">
        <v>28</v>
      </c>
      <c r="J251" s="8" t="s">
        <v>189</v>
      </c>
      <c r="K251" s="8" t="s">
        <v>30</v>
      </c>
      <c r="L251" s="8" t="s">
        <v>189</v>
      </c>
      <c r="M251" s="8" t="s">
        <v>46</v>
      </c>
      <c r="N251" s="8" t="s">
        <v>36</v>
      </c>
      <c r="O251" s="1" t="str">
        <f>VLOOKUP(C251,[1]Sheet2!A:C,2,FALSE)</f>
        <v>立充充电宝取机柜-物流服务</v>
      </c>
      <c r="P251" s="1" t="str">
        <f>VLOOKUP(C251,[1]Sheet2!G:H,2,FALSE)</f>
        <v>186****6788</v>
      </c>
      <c r="Q251" s="12" t="s">
        <v>48</v>
      </c>
    </row>
    <row r="252" s="1" customFormat="1" spans="1:17">
      <c r="A252" s="8" t="s">
        <v>506</v>
      </c>
      <c r="B252" s="8" t="s">
        <v>486</v>
      </c>
      <c r="C252" s="8" t="s">
        <v>507</v>
      </c>
      <c r="D252" s="8" t="s">
        <v>45</v>
      </c>
      <c r="E252" s="8" t="s">
        <v>45</v>
      </c>
      <c r="F252" s="8" t="s">
        <v>46</v>
      </c>
      <c r="G252" s="8" t="s">
        <v>26</v>
      </c>
      <c r="H252" s="8" t="s">
        <v>27</v>
      </c>
      <c r="I252" s="8" t="s">
        <v>28</v>
      </c>
      <c r="J252" s="8" t="s">
        <v>47</v>
      </c>
      <c r="K252" s="8" t="s">
        <v>30</v>
      </c>
      <c r="L252" s="8" t="s">
        <v>47</v>
      </c>
      <c r="M252" s="8" t="s">
        <v>46</v>
      </c>
      <c r="N252" s="8" t="s">
        <v>31</v>
      </c>
      <c r="O252" s="1" t="str">
        <f>VLOOKUP(C252,[1]Sheet2!A:C,2,FALSE)</f>
        <v>取宝-物流服务</v>
      </c>
      <c r="P252" s="1" t="str">
        <f>VLOOKUP(C252,[1]Sheet2!G:H,2,FALSE)</f>
        <v>186****6788</v>
      </c>
      <c r="Q252" s="12" t="s">
        <v>48</v>
      </c>
    </row>
    <row r="253" s="1" customFormat="1" spans="1:17">
      <c r="A253" s="8" t="s">
        <v>508</v>
      </c>
      <c r="B253" s="8" t="s">
        <v>486</v>
      </c>
      <c r="C253" s="8" t="s">
        <v>507</v>
      </c>
      <c r="D253" s="8" t="s">
        <v>45</v>
      </c>
      <c r="E253" s="8" t="s">
        <v>45</v>
      </c>
      <c r="F253" s="8" t="s">
        <v>46</v>
      </c>
      <c r="G253" s="8" t="s">
        <v>34</v>
      </c>
      <c r="H253" s="8" t="s">
        <v>27</v>
      </c>
      <c r="I253" s="8" t="s">
        <v>28</v>
      </c>
      <c r="J253" s="8" t="s">
        <v>55</v>
      </c>
      <c r="K253" s="8" t="s">
        <v>30</v>
      </c>
      <c r="L253" s="8" t="s">
        <v>55</v>
      </c>
      <c r="M253" s="8" t="s">
        <v>46</v>
      </c>
      <c r="N253" s="8" t="s">
        <v>36</v>
      </c>
      <c r="O253" s="1" t="str">
        <f>VLOOKUP(C253,[1]Sheet2!A:C,2,FALSE)</f>
        <v>取宝-物流服务</v>
      </c>
      <c r="P253" s="1" t="str">
        <f>VLOOKUP(C253,[1]Sheet2!G:H,2,FALSE)</f>
        <v>186****6788</v>
      </c>
      <c r="Q253" s="12" t="s">
        <v>48</v>
      </c>
    </row>
    <row r="254" s="1" customFormat="1" spans="1:17">
      <c r="A254" s="8" t="s">
        <v>509</v>
      </c>
      <c r="B254" s="8" t="s">
        <v>486</v>
      </c>
      <c r="C254" s="8" t="s">
        <v>510</v>
      </c>
      <c r="D254" s="8" t="s">
        <v>45</v>
      </c>
      <c r="E254" s="8" t="s">
        <v>45</v>
      </c>
      <c r="F254" s="8" t="s">
        <v>46</v>
      </c>
      <c r="G254" s="8" t="s">
        <v>26</v>
      </c>
      <c r="H254" s="8" t="s">
        <v>27</v>
      </c>
      <c r="I254" s="8" t="s">
        <v>28</v>
      </c>
      <c r="J254" s="8" t="s">
        <v>47</v>
      </c>
      <c r="K254" s="8" t="s">
        <v>30</v>
      </c>
      <c r="L254" s="8" t="s">
        <v>47</v>
      </c>
      <c r="M254" s="8" t="s">
        <v>46</v>
      </c>
      <c r="N254" s="8" t="s">
        <v>31</v>
      </c>
      <c r="O254" s="1" t="str">
        <f>VLOOKUP(C254,[1]Sheet2!A:C,2,FALSE)</f>
        <v>取宝-物流服务</v>
      </c>
      <c r="P254" s="1" t="str">
        <f>VLOOKUP(C254,[1]Sheet2!G:H,2,FALSE)</f>
        <v>186****6788</v>
      </c>
      <c r="Q254" s="12" t="s">
        <v>48</v>
      </c>
    </row>
    <row r="255" s="1" customFormat="1" spans="1:17">
      <c r="A255" s="8" t="s">
        <v>511</v>
      </c>
      <c r="B255" s="8" t="s">
        <v>486</v>
      </c>
      <c r="C255" s="8" t="s">
        <v>510</v>
      </c>
      <c r="D255" s="8" t="s">
        <v>45</v>
      </c>
      <c r="E255" s="8" t="s">
        <v>45</v>
      </c>
      <c r="F255" s="8" t="s">
        <v>46</v>
      </c>
      <c r="G255" s="8" t="s">
        <v>34</v>
      </c>
      <c r="H255" s="8" t="s">
        <v>27</v>
      </c>
      <c r="I255" s="8" t="s">
        <v>28</v>
      </c>
      <c r="J255" s="8" t="s">
        <v>55</v>
      </c>
      <c r="K255" s="8" t="s">
        <v>30</v>
      </c>
      <c r="L255" s="8" t="s">
        <v>55</v>
      </c>
      <c r="M255" s="8" t="s">
        <v>46</v>
      </c>
      <c r="N255" s="8" t="s">
        <v>36</v>
      </c>
      <c r="O255" s="1" t="str">
        <f>VLOOKUP(C255,[1]Sheet2!A:C,2,FALSE)</f>
        <v>取宝-物流服务</v>
      </c>
      <c r="P255" s="1" t="str">
        <f>VLOOKUP(C255,[1]Sheet2!G:H,2,FALSE)</f>
        <v>186****6788</v>
      </c>
      <c r="Q255" s="12" t="s">
        <v>48</v>
      </c>
    </row>
    <row r="256" s="1" customFormat="1" spans="1:17">
      <c r="A256" s="8" t="s">
        <v>512</v>
      </c>
      <c r="B256" s="8" t="s">
        <v>486</v>
      </c>
      <c r="C256" s="8" t="s">
        <v>469</v>
      </c>
      <c r="D256" s="8" t="s">
        <v>137</v>
      </c>
      <c r="E256" s="8" t="s">
        <v>45</v>
      </c>
      <c r="F256" s="8" t="s">
        <v>46</v>
      </c>
      <c r="G256" s="8" t="s">
        <v>34</v>
      </c>
      <c r="H256" s="8" t="s">
        <v>27</v>
      </c>
      <c r="I256" s="8" t="s">
        <v>69</v>
      </c>
      <c r="J256" s="8" t="s">
        <v>84</v>
      </c>
      <c r="K256" s="8" t="s">
        <v>30</v>
      </c>
      <c r="L256" s="8" t="s">
        <v>84</v>
      </c>
      <c r="M256" s="8" t="s">
        <v>46</v>
      </c>
      <c r="N256" s="8" t="s">
        <v>71</v>
      </c>
      <c r="O256" s="1" t="str">
        <f>VLOOKUP(C256,[1]Sheet2!A:C,2,FALSE)</f>
        <v>立充充电宝取机柜-物流服务</v>
      </c>
      <c r="P256" s="1" t="str">
        <f>VLOOKUP(C256,[1]Sheet2!G:H,2,FALSE)</f>
        <v>186****6788</v>
      </c>
      <c r="Q256" s="12" t="s">
        <v>48</v>
      </c>
    </row>
    <row r="257" s="1" customFormat="1" spans="1:17">
      <c r="A257" s="8" t="s">
        <v>513</v>
      </c>
      <c r="B257" s="8" t="s">
        <v>486</v>
      </c>
      <c r="C257" s="8" t="s">
        <v>472</v>
      </c>
      <c r="D257" s="8" t="s">
        <v>137</v>
      </c>
      <c r="E257" s="8" t="s">
        <v>45</v>
      </c>
      <c r="F257" s="8" t="s">
        <v>46</v>
      </c>
      <c r="G257" s="8" t="s">
        <v>34</v>
      </c>
      <c r="H257" s="8" t="s">
        <v>27</v>
      </c>
      <c r="I257" s="8" t="s">
        <v>69</v>
      </c>
      <c r="J257" s="8" t="s">
        <v>70</v>
      </c>
      <c r="K257" s="8" t="s">
        <v>30</v>
      </c>
      <c r="L257" s="8" t="s">
        <v>70</v>
      </c>
      <c r="M257" s="8" t="s">
        <v>46</v>
      </c>
      <c r="N257" s="8" t="s">
        <v>71</v>
      </c>
      <c r="O257" s="1" t="str">
        <f>VLOOKUP(C257,[1]Sheet2!A:C,2,FALSE)</f>
        <v>取宝-物流服务</v>
      </c>
      <c r="P257" s="1" t="str">
        <f>VLOOKUP(C257,[1]Sheet2!G:H,2,FALSE)</f>
        <v>186****6788</v>
      </c>
      <c r="Q257" s="12" t="s">
        <v>48</v>
      </c>
    </row>
    <row r="258" s="1" customFormat="1" spans="1:17">
      <c r="A258" s="8" t="s">
        <v>514</v>
      </c>
      <c r="B258" s="8" t="s">
        <v>486</v>
      </c>
      <c r="C258" s="8" t="s">
        <v>475</v>
      </c>
      <c r="D258" s="8" t="s">
        <v>137</v>
      </c>
      <c r="E258" s="8" t="s">
        <v>45</v>
      </c>
      <c r="F258" s="8" t="s">
        <v>46</v>
      </c>
      <c r="G258" s="8" t="s">
        <v>34</v>
      </c>
      <c r="H258" s="8" t="s">
        <v>27</v>
      </c>
      <c r="I258" s="8" t="s">
        <v>69</v>
      </c>
      <c r="J258" s="8" t="s">
        <v>70</v>
      </c>
      <c r="K258" s="8" t="s">
        <v>30</v>
      </c>
      <c r="L258" s="8" t="s">
        <v>70</v>
      </c>
      <c r="M258" s="8" t="s">
        <v>46</v>
      </c>
      <c r="N258" s="8" t="s">
        <v>71</v>
      </c>
      <c r="O258" s="1" t="str">
        <f>VLOOKUP(C258,[1]Sheet2!A:C,2,FALSE)</f>
        <v>取宝-物流服务</v>
      </c>
      <c r="P258" s="1" t="str">
        <f>VLOOKUP(C258,[1]Sheet2!G:H,2,FALSE)</f>
        <v>186****6788</v>
      </c>
      <c r="Q258" s="12" t="s">
        <v>48</v>
      </c>
    </row>
    <row r="259" s="1" customFormat="1" spans="1:17">
      <c r="A259" s="8" t="s">
        <v>515</v>
      </c>
      <c r="B259" s="8" t="s">
        <v>516</v>
      </c>
      <c r="C259" s="8" t="s">
        <v>500</v>
      </c>
      <c r="D259" s="8" t="s">
        <v>45</v>
      </c>
      <c r="E259" s="8" t="s">
        <v>45</v>
      </c>
      <c r="F259" s="8" t="s">
        <v>46</v>
      </c>
      <c r="G259" s="8" t="s">
        <v>34</v>
      </c>
      <c r="H259" s="8" t="s">
        <v>27</v>
      </c>
      <c r="I259" s="8" t="s">
        <v>69</v>
      </c>
      <c r="J259" s="8" t="s">
        <v>84</v>
      </c>
      <c r="K259" s="8" t="s">
        <v>30</v>
      </c>
      <c r="L259" s="8" t="s">
        <v>84</v>
      </c>
      <c r="M259" s="8" t="s">
        <v>46</v>
      </c>
      <c r="N259" s="8" t="s">
        <v>71</v>
      </c>
      <c r="O259" s="1" t="str">
        <f>VLOOKUP(C259,[1]Sheet2!A:C,2,FALSE)</f>
        <v>立充充电宝取机柜-物流服务</v>
      </c>
      <c r="P259" s="1" t="str">
        <f>VLOOKUP(C259,[1]Sheet2!G:H,2,FALSE)</f>
        <v>186****6788</v>
      </c>
      <c r="Q259" s="12" t="s">
        <v>48</v>
      </c>
    </row>
    <row r="260" s="1" customFormat="1" spans="1:17">
      <c r="A260" s="8" t="s">
        <v>517</v>
      </c>
      <c r="B260" s="8" t="s">
        <v>516</v>
      </c>
      <c r="C260" s="8" t="s">
        <v>507</v>
      </c>
      <c r="D260" s="8" t="s">
        <v>45</v>
      </c>
      <c r="E260" s="8" t="s">
        <v>45</v>
      </c>
      <c r="F260" s="8" t="s">
        <v>46</v>
      </c>
      <c r="G260" s="8" t="s">
        <v>34</v>
      </c>
      <c r="H260" s="8" t="s">
        <v>27</v>
      </c>
      <c r="I260" s="8" t="s">
        <v>69</v>
      </c>
      <c r="J260" s="8" t="s">
        <v>70</v>
      </c>
      <c r="K260" s="8" t="s">
        <v>30</v>
      </c>
      <c r="L260" s="8" t="s">
        <v>70</v>
      </c>
      <c r="M260" s="8" t="s">
        <v>46</v>
      </c>
      <c r="N260" s="8" t="s">
        <v>71</v>
      </c>
      <c r="O260" s="1" t="str">
        <f>VLOOKUP(C260,[1]Sheet2!A:C,2,FALSE)</f>
        <v>取宝-物流服务</v>
      </c>
      <c r="P260" s="1" t="str">
        <f>VLOOKUP(C260,[1]Sheet2!G:H,2,FALSE)</f>
        <v>186****6788</v>
      </c>
      <c r="Q260" s="12" t="s">
        <v>48</v>
      </c>
    </row>
    <row r="261" s="1" customFormat="1" spans="1:17">
      <c r="A261" s="8" t="s">
        <v>518</v>
      </c>
      <c r="B261" s="8" t="s">
        <v>516</v>
      </c>
      <c r="C261" s="8" t="s">
        <v>519</v>
      </c>
      <c r="D261" s="8" t="s">
        <v>137</v>
      </c>
      <c r="E261" s="8" t="s">
        <v>45</v>
      </c>
      <c r="F261" s="8" t="s">
        <v>46</v>
      </c>
      <c r="G261" s="8" t="s">
        <v>26</v>
      </c>
      <c r="H261" s="8" t="s">
        <v>27</v>
      </c>
      <c r="I261" s="8" t="s">
        <v>28</v>
      </c>
      <c r="J261" s="8" t="s">
        <v>113</v>
      </c>
      <c r="K261" s="8" t="s">
        <v>30</v>
      </c>
      <c r="L261" s="8" t="s">
        <v>113</v>
      </c>
      <c r="M261" s="8" t="s">
        <v>46</v>
      </c>
      <c r="N261" s="8" t="s">
        <v>31</v>
      </c>
      <c r="O261" s="1" t="str">
        <f>VLOOKUP(C261,[1]Sheet2!A:C,2,FALSE)</f>
        <v>取宝-物流服务</v>
      </c>
      <c r="P261" s="1" t="str">
        <f>VLOOKUP(C261,[1]Sheet2!G:H,2,FALSE)</f>
        <v>186****6788</v>
      </c>
      <c r="Q261" s="12" t="s">
        <v>48</v>
      </c>
    </row>
    <row r="262" s="1" customFormat="1" spans="1:17">
      <c r="A262" s="8" t="s">
        <v>520</v>
      </c>
      <c r="B262" s="8" t="s">
        <v>516</v>
      </c>
      <c r="C262" s="8" t="s">
        <v>519</v>
      </c>
      <c r="D262" s="8" t="s">
        <v>137</v>
      </c>
      <c r="E262" s="8" t="s">
        <v>45</v>
      </c>
      <c r="F262" s="8" t="s">
        <v>46</v>
      </c>
      <c r="G262" s="8" t="s">
        <v>34</v>
      </c>
      <c r="H262" s="8" t="s">
        <v>27</v>
      </c>
      <c r="I262" s="8" t="s">
        <v>28</v>
      </c>
      <c r="J262" s="8" t="s">
        <v>55</v>
      </c>
      <c r="K262" s="8" t="s">
        <v>30</v>
      </c>
      <c r="L262" s="8" t="s">
        <v>55</v>
      </c>
      <c r="M262" s="8" t="s">
        <v>46</v>
      </c>
      <c r="N262" s="8" t="s">
        <v>36</v>
      </c>
      <c r="O262" s="1" t="str">
        <f>VLOOKUP(C262,[1]Sheet2!A:C,2,FALSE)</f>
        <v>取宝-物流服务</v>
      </c>
      <c r="P262" s="1" t="str">
        <f>VLOOKUP(C262,[1]Sheet2!G:H,2,FALSE)</f>
        <v>186****6788</v>
      </c>
      <c r="Q262" s="12" t="s">
        <v>48</v>
      </c>
    </row>
    <row r="263" s="1" customFormat="1" spans="1:17">
      <c r="A263" s="8" t="s">
        <v>521</v>
      </c>
      <c r="B263" s="8" t="s">
        <v>516</v>
      </c>
      <c r="C263" s="8" t="s">
        <v>522</v>
      </c>
      <c r="D263" s="8" t="s">
        <v>137</v>
      </c>
      <c r="E263" s="8" t="s">
        <v>45</v>
      </c>
      <c r="F263" s="8" t="s">
        <v>46</v>
      </c>
      <c r="G263" s="8" t="s">
        <v>26</v>
      </c>
      <c r="H263" s="8" t="s">
        <v>27</v>
      </c>
      <c r="I263" s="8" t="s">
        <v>28</v>
      </c>
      <c r="J263" s="8" t="s">
        <v>113</v>
      </c>
      <c r="K263" s="8" t="s">
        <v>30</v>
      </c>
      <c r="L263" s="8" t="s">
        <v>113</v>
      </c>
      <c r="M263" s="8" t="s">
        <v>46</v>
      </c>
      <c r="N263" s="8" t="s">
        <v>31</v>
      </c>
      <c r="O263" s="1" t="str">
        <f>VLOOKUP(C263,[1]Sheet2!A:C,2,FALSE)</f>
        <v>取宝-物流服务</v>
      </c>
      <c r="P263" s="1" t="str">
        <f>VLOOKUP(C263,[1]Sheet2!G:H,2,FALSE)</f>
        <v>186****6788</v>
      </c>
      <c r="Q263" s="12" t="s">
        <v>48</v>
      </c>
    </row>
    <row r="264" s="1" customFormat="1" spans="1:17">
      <c r="A264" s="8" t="s">
        <v>523</v>
      </c>
      <c r="B264" s="8" t="s">
        <v>516</v>
      </c>
      <c r="C264" s="8" t="s">
        <v>522</v>
      </c>
      <c r="D264" s="8" t="s">
        <v>137</v>
      </c>
      <c r="E264" s="8" t="s">
        <v>45</v>
      </c>
      <c r="F264" s="8" t="s">
        <v>46</v>
      </c>
      <c r="G264" s="8" t="s">
        <v>34</v>
      </c>
      <c r="H264" s="8" t="s">
        <v>27</v>
      </c>
      <c r="I264" s="8" t="s">
        <v>28</v>
      </c>
      <c r="J264" s="8" t="s">
        <v>55</v>
      </c>
      <c r="K264" s="8" t="s">
        <v>30</v>
      </c>
      <c r="L264" s="8" t="s">
        <v>55</v>
      </c>
      <c r="M264" s="8" t="s">
        <v>46</v>
      </c>
      <c r="N264" s="8" t="s">
        <v>36</v>
      </c>
      <c r="O264" s="1" t="str">
        <f>VLOOKUP(C264,[1]Sheet2!A:C,2,FALSE)</f>
        <v>取宝-物流服务</v>
      </c>
      <c r="P264" s="1" t="str">
        <f>VLOOKUP(C264,[1]Sheet2!G:H,2,FALSE)</f>
        <v>186****6788</v>
      </c>
      <c r="Q264" s="12" t="s">
        <v>48</v>
      </c>
    </row>
    <row r="265" s="1" customFormat="1" spans="1:17">
      <c r="A265" s="8" t="s">
        <v>524</v>
      </c>
      <c r="B265" s="8" t="s">
        <v>516</v>
      </c>
      <c r="C265" s="8" t="s">
        <v>525</v>
      </c>
      <c r="D265" s="8" t="s">
        <v>137</v>
      </c>
      <c r="E265" s="8" t="s">
        <v>45</v>
      </c>
      <c r="F265" s="8" t="s">
        <v>46</v>
      </c>
      <c r="G265" s="8" t="s">
        <v>186</v>
      </c>
      <c r="H265" s="8" t="s">
        <v>27</v>
      </c>
      <c r="I265" s="8" t="s">
        <v>28</v>
      </c>
      <c r="J265" s="8" t="s">
        <v>95</v>
      </c>
      <c r="K265" s="8" t="s">
        <v>30</v>
      </c>
      <c r="L265" s="8" t="s">
        <v>95</v>
      </c>
      <c r="M265" s="8" t="s">
        <v>46</v>
      </c>
      <c r="N265" s="8" t="s">
        <v>31</v>
      </c>
      <c r="O265" s="1" t="str">
        <f>VLOOKUP(C265,[1]Sheet2!A:C,2,FALSE)</f>
        <v>立充充电宝取机柜-物流服务</v>
      </c>
      <c r="P265" s="1" t="str">
        <f>VLOOKUP(C265,[1]Sheet2!G:H,2,FALSE)</f>
        <v>186****6788</v>
      </c>
      <c r="Q265" s="12" t="s">
        <v>48</v>
      </c>
    </row>
    <row r="266" s="1" customFormat="1" spans="1:17">
      <c r="A266" s="8" t="s">
        <v>526</v>
      </c>
      <c r="B266" s="8" t="s">
        <v>516</v>
      </c>
      <c r="C266" s="8" t="s">
        <v>525</v>
      </c>
      <c r="D266" s="8" t="s">
        <v>137</v>
      </c>
      <c r="E266" s="8" t="s">
        <v>45</v>
      </c>
      <c r="F266" s="8" t="s">
        <v>46</v>
      </c>
      <c r="G266" s="8" t="s">
        <v>34</v>
      </c>
      <c r="H266" s="8" t="s">
        <v>27</v>
      </c>
      <c r="I266" s="8" t="s">
        <v>28</v>
      </c>
      <c r="J266" s="8" t="s">
        <v>189</v>
      </c>
      <c r="K266" s="8" t="s">
        <v>30</v>
      </c>
      <c r="L266" s="8" t="s">
        <v>189</v>
      </c>
      <c r="M266" s="8" t="s">
        <v>46</v>
      </c>
      <c r="N266" s="8" t="s">
        <v>36</v>
      </c>
      <c r="O266" s="1" t="str">
        <f>VLOOKUP(C266,[1]Sheet2!A:C,2,FALSE)</f>
        <v>立充充电宝取机柜-物流服务</v>
      </c>
      <c r="P266" s="1" t="str">
        <f>VLOOKUP(C266,[1]Sheet2!G:H,2,FALSE)</f>
        <v>186****6788</v>
      </c>
      <c r="Q266" s="12" t="s">
        <v>48</v>
      </c>
    </row>
    <row r="267" s="1" customFormat="1" spans="1:17">
      <c r="A267" s="8" t="s">
        <v>527</v>
      </c>
      <c r="B267" s="8" t="s">
        <v>516</v>
      </c>
      <c r="C267" s="8" t="s">
        <v>528</v>
      </c>
      <c r="D267" s="8" t="s">
        <v>204</v>
      </c>
      <c r="E267" s="8" t="s">
        <v>205</v>
      </c>
      <c r="F267" s="8" t="s">
        <v>210</v>
      </c>
      <c r="G267" s="8" t="s">
        <v>529</v>
      </c>
      <c r="H267" s="8" t="s">
        <v>27</v>
      </c>
      <c r="I267" s="8" t="s">
        <v>28</v>
      </c>
      <c r="J267" s="8" t="s">
        <v>530</v>
      </c>
      <c r="K267" s="8" t="s">
        <v>30</v>
      </c>
      <c r="L267" s="8" t="s">
        <v>530</v>
      </c>
      <c r="M267" s="8" t="s">
        <v>531</v>
      </c>
      <c r="N267" s="8" t="s">
        <v>31</v>
      </c>
      <c r="O267" s="1" t="str">
        <f>VLOOKUP(C267,[1]Sheet2!A:C,2,FALSE)</f>
        <v>立充充电宝取机柜-物流服务</v>
      </c>
      <c r="P267" s="1" t="str">
        <f>VLOOKUP(C267,[1]Sheet2!G:H,2,FALSE)</f>
        <v>131****2614</v>
      </c>
      <c r="Q267" s="31" t="s">
        <v>210</v>
      </c>
    </row>
    <row r="268" s="1" customFormat="1" spans="1:17">
      <c r="A268" s="8" t="s">
        <v>532</v>
      </c>
      <c r="B268" s="8" t="s">
        <v>516</v>
      </c>
      <c r="C268" s="8" t="s">
        <v>528</v>
      </c>
      <c r="D268" s="8" t="s">
        <v>204</v>
      </c>
      <c r="E268" s="8" t="s">
        <v>205</v>
      </c>
      <c r="F268" s="8" t="s">
        <v>210</v>
      </c>
      <c r="G268" s="8" t="s">
        <v>34</v>
      </c>
      <c r="H268" s="8" t="s">
        <v>27</v>
      </c>
      <c r="I268" s="8" t="s">
        <v>28</v>
      </c>
      <c r="J268" s="8" t="s">
        <v>70</v>
      </c>
      <c r="K268" s="8" t="s">
        <v>30</v>
      </c>
      <c r="L268" s="8" t="s">
        <v>70</v>
      </c>
      <c r="M268" s="8" t="s">
        <v>531</v>
      </c>
      <c r="N268" s="8" t="s">
        <v>36</v>
      </c>
      <c r="O268" s="1" t="str">
        <f>VLOOKUP(C268,[1]Sheet2!A:C,2,FALSE)</f>
        <v>立充充电宝取机柜-物流服务</v>
      </c>
      <c r="P268" s="1" t="str">
        <f>VLOOKUP(C268,[1]Sheet2!G:H,2,FALSE)</f>
        <v>131****2614</v>
      </c>
      <c r="Q268" s="31" t="s">
        <v>210</v>
      </c>
    </row>
    <row r="269" s="1" customFormat="1" spans="1:17">
      <c r="A269" s="8" t="s">
        <v>533</v>
      </c>
      <c r="B269" s="8" t="s">
        <v>516</v>
      </c>
      <c r="C269" s="8" t="s">
        <v>534</v>
      </c>
      <c r="D269" s="8" t="s">
        <v>204</v>
      </c>
      <c r="E269" s="8" t="s">
        <v>205</v>
      </c>
      <c r="F269" s="8" t="s">
        <v>209</v>
      </c>
      <c r="G269" s="8" t="s">
        <v>26</v>
      </c>
      <c r="H269" s="8" t="s">
        <v>27</v>
      </c>
      <c r="I269" s="8" t="s">
        <v>28</v>
      </c>
      <c r="J269" s="8" t="s">
        <v>95</v>
      </c>
      <c r="K269" s="8" t="s">
        <v>30</v>
      </c>
      <c r="L269" s="8" t="s">
        <v>95</v>
      </c>
      <c r="M269" s="8" t="s">
        <v>531</v>
      </c>
      <c r="N269" s="8" t="s">
        <v>31</v>
      </c>
      <c r="O269" s="1" t="str">
        <f>VLOOKUP(C269,[1]Sheet2!A:C,2,FALSE)</f>
        <v>立充充电宝取机柜-物流服务</v>
      </c>
      <c r="P269" s="1" t="str">
        <f>VLOOKUP(C269,[1]Sheet2!G:H,2,FALSE)</f>
        <v>131****2614</v>
      </c>
      <c r="Q269" s="31" t="s">
        <v>210</v>
      </c>
    </row>
    <row r="270" s="1" customFormat="1" spans="1:17">
      <c r="A270" s="8" t="s">
        <v>535</v>
      </c>
      <c r="B270" s="8" t="s">
        <v>516</v>
      </c>
      <c r="C270" s="8" t="s">
        <v>534</v>
      </c>
      <c r="D270" s="8" t="s">
        <v>204</v>
      </c>
      <c r="E270" s="8" t="s">
        <v>205</v>
      </c>
      <c r="F270" s="8" t="s">
        <v>209</v>
      </c>
      <c r="G270" s="8" t="s">
        <v>34</v>
      </c>
      <c r="H270" s="8" t="s">
        <v>27</v>
      </c>
      <c r="I270" s="8" t="s">
        <v>28</v>
      </c>
      <c r="J270" s="8" t="s">
        <v>55</v>
      </c>
      <c r="K270" s="8" t="s">
        <v>30</v>
      </c>
      <c r="L270" s="8" t="s">
        <v>55</v>
      </c>
      <c r="M270" s="8" t="s">
        <v>531</v>
      </c>
      <c r="N270" s="8" t="s">
        <v>36</v>
      </c>
      <c r="O270" s="1" t="str">
        <f>VLOOKUP(C270,[1]Sheet2!A:C,2,FALSE)</f>
        <v>立充充电宝取机柜-物流服务</v>
      </c>
      <c r="P270" s="1" t="str">
        <f>VLOOKUP(C270,[1]Sheet2!G:H,2,FALSE)</f>
        <v>131****2614</v>
      </c>
      <c r="Q270" s="31" t="s">
        <v>210</v>
      </c>
    </row>
    <row r="271" s="1" customFormat="1" spans="1:17">
      <c r="A271" s="8" t="s">
        <v>536</v>
      </c>
      <c r="B271" s="8" t="s">
        <v>516</v>
      </c>
      <c r="C271" s="8" t="s">
        <v>537</v>
      </c>
      <c r="D271" s="8" t="s">
        <v>204</v>
      </c>
      <c r="E271" s="8" t="s">
        <v>205</v>
      </c>
      <c r="F271" s="8" t="s">
        <v>209</v>
      </c>
      <c r="G271" s="8" t="s">
        <v>26</v>
      </c>
      <c r="H271" s="8" t="s">
        <v>27</v>
      </c>
      <c r="I271" s="8" t="s">
        <v>28</v>
      </c>
      <c r="J271" s="8" t="s">
        <v>95</v>
      </c>
      <c r="K271" s="8" t="s">
        <v>30</v>
      </c>
      <c r="L271" s="8" t="s">
        <v>95</v>
      </c>
      <c r="M271" s="8" t="s">
        <v>531</v>
      </c>
      <c r="N271" s="8" t="s">
        <v>31</v>
      </c>
      <c r="O271" s="1" t="str">
        <f>VLOOKUP(C271,[1]Sheet2!A:C,2,FALSE)</f>
        <v>立充充电宝取机柜-物流服务</v>
      </c>
      <c r="P271" s="1" t="str">
        <f>VLOOKUP(C271,[1]Sheet2!G:H,2,FALSE)</f>
        <v>131****2614</v>
      </c>
      <c r="Q271" s="31" t="s">
        <v>210</v>
      </c>
    </row>
    <row r="272" s="1" customFormat="1" spans="1:17">
      <c r="A272" s="8" t="s">
        <v>538</v>
      </c>
      <c r="B272" s="8" t="s">
        <v>516</v>
      </c>
      <c r="C272" s="8" t="s">
        <v>537</v>
      </c>
      <c r="D272" s="8" t="s">
        <v>204</v>
      </c>
      <c r="E272" s="8" t="s">
        <v>205</v>
      </c>
      <c r="F272" s="8" t="s">
        <v>209</v>
      </c>
      <c r="G272" s="8" t="s">
        <v>34</v>
      </c>
      <c r="H272" s="8" t="s">
        <v>27</v>
      </c>
      <c r="I272" s="8" t="s">
        <v>28</v>
      </c>
      <c r="J272" s="8" t="s">
        <v>55</v>
      </c>
      <c r="K272" s="8" t="s">
        <v>30</v>
      </c>
      <c r="L272" s="8" t="s">
        <v>55</v>
      </c>
      <c r="M272" s="8" t="s">
        <v>531</v>
      </c>
      <c r="N272" s="8" t="s">
        <v>36</v>
      </c>
      <c r="O272" s="1" t="str">
        <f>VLOOKUP(C272,[1]Sheet2!A:C,2,FALSE)</f>
        <v>立充充电宝取机柜-物流服务</v>
      </c>
      <c r="P272" s="1" t="str">
        <f>VLOOKUP(C272,[1]Sheet2!G:H,2,FALSE)</f>
        <v>131****2614</v>
      </c>
      <c r="Q272" s="31" t="s">
        <v>210</v>
      </c>
    </row>
    <row r="273" s="1" customFormat="1" spans="1:17">
      <c r="A273" s="8" t="s">
        <v>539</v>
      </c>
      <c r="B273" s="8" t="s">
        <v>516</v>
      </c>
      <c r="C273" s="8" t="s">
        <v>540</v>
      </c>
      <c r="D273" s="8" t="s">
        <v>204</v>
      </c>
      <c r="E273" s="8" t="s">
        <v>205</v>
      </c>
      <c r="F273" s="8" t="s">
        <v>209</v>
      </c>
      <c r="G273" s="8" t="s">
        <v>26</v>
      </c>
      <c r="H273" s="8" t="s">
        <v>27</v>
      </c>
      <c r="I273" s="8" t="s">
        <v>28</v>
      </c>
      <c r="J273" s="8" t="s">
        <v>95</v>
      </c>
      <c r="K273" s="8" t="s">
        <v>30</v>
      </c>
      <c r="L273" s="8" t="s">
        <v>95</v>
      </c>
      <c r="M273" s="8" t="s">
        <v>531</v>
      </c>
      <c r="N273" s="8" t="s">
        <v>31</v>
      </c>
      <c r="O273" s="1" t="str">
        <f>VLOOKUP(C273,[1]Sheet2!A:C,2,FALSE)</f>
        <v>立充充电宝取机柜-物流服务</v>
      </c>
      <c r="P273" s="1" t="str">
        <f>VLOOKUP(C273,[1]Sheet2!G:H,2,FALSE)</f>
        <v>131****2614</v>
      </c>
      <c r="Q273" s="31" t="s">
        <v>210</v>
      </c>
    </row>
    <row r="274" s="1" customFormat="1" spans="1:17">
      <c r="A274" s="8" t="s">
        <v>541</v>
      </c>
      <c r="B274" s="8" t="s">
        <v>516</v>
      </c>
      <c r="C274" s="8" t="s">
        <v>540</v>
      </c>
      <c r="D274" s="8" t="s">
        <v>204</v>
      </c>
      <c r="E274" s="8" t="s">
        <v>205</v>
      </c>
      <c r="F274" s="8" t="s">
        <v>209</v>
      </c>
      <c r="G274" s="8" t="s">
        <v>34</v>
      </c>
      <c r="H274" s="8" t="s">
        <v>27</v>
      </c>
      <c r="I274" s="8" t="s">
        <v>28</v>
      </c>
      <c r="J274" s="8" t="s">
        <v>55</v>
      </c>
      <c r="K274" s="8" t="s">
        <v>30</v>
      </c>
      <c r="L274" s="8" t="s">
        <v>55</v>
      </c>
      <c r="M274" s="8" t="s">
        <v>531</v>
      </c>
      <c r="N274" s="8" t="s">
        <v>36</v>
      </c>
      <c r="O274" s="1" t="str">
        <f>VLOOKUP(C274,[1]Sheet2!A:C,2,FALSE)</f>
        <v>立充充电宝取机柜-物流服务</v>
      </c>
      <c r="P274" s="1" t="str">
        <f>VLOOKUP(C274,[1]Sheet2!G:H,2,FALSE)</f>
        <v>131****2614</v>
      </c>
      <c r="Q274" s="31" t="s">
        <v>210</v>
      </c>
    </row>
    <row r="275" s="1" customFormat="1" spans="1:17">
      <c r="A275" s="8" t="s">
        <v>542</v>
      </c>
      <c r="B275" s="8" t="s">
        <v>516</v>
      </c>
      <c r="C275" s="8" t="s">
        <v>543</v>
      </c>
      <c r="D275" s="8" t="s">
        <v>204</v>
      </c>
      <c r="E275" s="8" t="s">
        <v>205</v>
      </c>
      <c r="F275" s="8" t="s">
        <v>209</v>
      </c>
      <c r="G275" s="8" t="s">
        <v>26</v>
      </c>
      <c r="H275" s="8" t="s">
        <v>27</v>
      </c>
      <c r="I275" s="8" t="s">
        <v>28</v>
      </c>
      <c r="J275" s="8" t="s">
        <v>95</v>
      </c>
      <c r="K275" s="8" t="s">
        <v>30</v>
      </c>
      <c r="L275" s="8" t="s">
        <v>95</v>
      </c>
      <c r="M275" s="8" t="s">
        <v>531</v>
      </c>
      <c r="N275" s="8" t="s">
        <v>31</v>
      </c>
      <c r="O275" s="1" t="str">
        <f>VLOOKUP(C275,[1]Sheet2!A:C,2,FALSE)</f>
        <v>立充充电宝取机柜-物流服务</v>
      </c>
      <c r="P275" s="1" t="str">
        <f>VLOOKUP(C275,[1]Sheet2!G:H,2,FALSE)</f>
        <v>131****2614</v>
      </c>
      <c r="Q275" s="31" t="s">
        <v>210</v>
      </c>
    </row>
    <row r="276" s="1" customFormat="1" spans="1:17">
      <c r="A276" s="8" t="s">
        <v>544</v>
      </c>
      <c r="B276" s="8" t="s">
        <v>516</v>
      </c>
      <c r="C276" s="8" t="s">
        <v>543</v>
      </c>
      <c r="D276" s="8" t="s">
        <v>204</v>
      </c>
      <c r="E276" s="8" t="s">
        <v>205</v>
      </c>
      <c r="F276" s="8" t="s">
        <v>209</v>
      </c>
      <c r="G276" s="8" t="s">
        <v>34</v>
      </c>
      <c r="H276" s="8" t="s">
        <v>27</v>
      </c>
      <c r="I276" s="8" t="s">
        <v>28</v>
      </c>
      <c r="J276" s="8" t="s">
        <v>55</v>
      </c>
      <c r="K276" s="8" t="s">
        <v>30</v>
      </c>
      <c r="L276" s="8" t="s">
        <v>55</v>
      </c>
      <c r="M276" s="8" t="s">
        <v>531</v>
      </c>
      <c r="N276" s="8" t="s">
        <v>36</v>
      </c>
      <c r="O276" s="1" t="str">
        <f>VLOOKUP(C276,[1]Sheet2!A:C,2,FALSE)</f>
        <v>立充充电宝取机柜-物流服务</v>
      </c>
      <c r="P276" s="1" t="str">
        <f>VLOOKUP(C276,[1]Sheet2!G:H,2,FALSE)</f>
        <v>131****2614</v>
      </c>
      <c r="Q276" s="31" t="s">
        <v>210</v>
      </c>
    </row>
    <row r="277" s="1" customFormat="1" spans="1:17">
      <c r="A277" s="8" t="s">
        <v>545</v>
      </c>
      <c r="B277" s="8" t="s">
        <v>516</v>
      </c>
      <c r="C277" s="8" t="s">
        <v>546</v>
      </c>
      <c r="D277" s="8" t="s">
        <v>204</v>
      </c>
      <c r="E277" s="8" t="s">
        <v>205</v>
      </c>
      <c r="F277" s="8" t="s">
        <v>209</v>
      </c>
      <c r="G277" s="8" t="s">
        <v>26</v>
      </c>
      <c r="H277" s="8" t="s">
        <v>27</v>
      </c>
      <c r="I277" s="8" t="s">
        <v>28</v>
      </c>
      <c r="J277" s="8" t="s">
        <v>95</v>
      </c>
      <c r="K277" s="8" t="s">
        <v>30</v>
      </c>
      <c r="L277" s="8" t="s">
        <v>95</v>
      </c>
      <c r="M277" s="8" t="s">
        <v>531</v>
      </c>
      <c r="N277" s="8" t="s">
        <v>31</v>
      </c>
      <c r="O277" s="1" t="str">
        <f>VLOOKUP(C277,[1]Sheet2!A:C,2,FALSE)</f>
        <v>立充充电宝取机柜-物流服务</v>
      </c>
      <c r="P277" s="1" t="str">
        <f>VLOOKUP(C277,[1]Sheet2!G:H,2,FALSE)</f>
        <v>131****2614</v>
      </c>
      <c r="Q277" s="31" t="s">
        <v>210</v>
      </c>
    </row>
    <row r="278" s="1" customFormat="1" spans="1:17">
      <c r="A278" s="8" t="s">
        <v>547</v>
      </c>
      <c r="B278" s="8" t="s">
        <v>516</v>
      </c>
      <c r="C278" s="8" t="s">
        <v>546</v>
      </c>
      <c r="D278" s="8" t="s">
        <v>204</v>
      </c>
      <c r="E278" s="8" t="s">
        <v>205</v>
      </c>
      <c r="F278" s="8" t="s">
        <v>209</v>
      </c>
      <c r="G278" s="8" t="s">
        <v>34</v>
      </c>
      <c r="H278" s="8" t="s">
        <v>27</v>
      </c>
      <c r="I278" s="8" t="s">
        <v>28</v>
      </c>
      <c r="J278" s="8" t="s">
        <v>55</v>
      </c>
      <c r="K278" s="8" t="s">
        <v>30</v>
      </c>
      <c r="L278" s="8" t="s">
        <v>55</v>
      </c>
      <c r="M278" s="8" t="s">
        <v>531</v>
      </c>
      <c r="N278" s="8" t="s">
        <v>36</v>
      </c>
      <c r="O278" s="1" t="str">
        <f>VLOOKUP(C278,[1]Sheet2!A:C,2,FALSE)</f>
        <v>立充充电宝取机柜-物流服务</v>
      </c>
      <c r="P278" s="1" t="str">
        <f>VLOOKUP(C278,[1]Sheet2!G:H,2,FALSE)</f>
        <v>131****2614</v>
      </c>
      <c r="Q278" s="31" t="s">
        <v>210</v>
      </c>
    </row>
    <row r="279" s="1" customFormat="1" spans="1:17">
      <c r="A279" s="8" t="s">
        <v>548</v>
      </c>
      <c r="B279" s="8" t="s">
        <v>549</v>
      </c>
      <c r="C279" s="8" t="s">
        <v>492</v>
      </c>
      <c r="D279" s="8" t="s">
        <v>45</v>
      </c>
      <c r="E279" s="8" t="s">
        <v>45</v>
      </c>
      <c r="F279" s="8" t="s">
        <v>493</v>
      </c>
      <c r="G279" s="8" t="s">
        <v>34</v>
      </c>
      <c r="H279" s="8" t="s">
        <v>27</v>
      </c>
      <c r="I279" s="8" t="s">
        <v>69</v>
      </c>
      <c r="J279" s="8" t="s">
        <v>70</v>
      </c>
      <c r="K279" s="8" t="s">
        <v>30</v>
      </c>
      <c r="L279" s="8" t="s">
        <v>70</v>
      </c>
      <c r="M279" s="8" t="s">
        <v>46</v>
      </c>
      <c r="N279" s="8" t="s">
        <v>219</v>
      </c>
      <c r="O279" s="1" t="str">
        <f>VLOOKUP(C279,[1]Sheet2!A:C,2,FALSE)</f>
        <v>补宝-物流服务</v>
      </c>
      <c r="P279" s="1" t="str">
        <f>VLOOKUP(C279,[1]Sheet2!G:H,2,FALSE)</f>
        <v>186****6788</v>
      </c>
      <c r="Q279" s="12" t="s">
        <v>48</v>
      </c>
    </row>
    <row r="280" s="1" customFormat="1" spans="1:17">
      <c r="A280" s="8" t="s">
        <v>550</v>
      </c>
      <c r="B280" s="8" t="s">
        <v>549</v>
      </c>
      <c r="C280" s="8" t="s">
        <v>495</v>
      </c>
      <c r="D280" s="8" t="s">
        <v>45</v>
      </c>
      <c r="E280" s="8" t="s">
        <v>45</v>
      </c>
      <c r="F280" s="8" t="s">
        <v>493</v>
      </c>
      <c r="G280" s="8" t="s">
        <v>34</v>
      </c>
      <c r="H280" s="8" t="s">
        <v>27</v>
      </c>
      <c r="I280" s="8" t="s">
        <v>69</v>
      </c>
      <c r="J280" s="8" t="s">
        <v>70</v>
      </c>
      <c r="K280" s="8" t="s">
        <v>30</v>
      </c>
      <c r="L280" s="8" t="s">
        <v>70</v>
      </c>
      <c r="M280" s="8" t="s">
        <v>46</v>
      </c>
      <c r="N280" s="8" t="s">
        <v>219</v>
      </c>
      <c r="O280" s="1" t="str">
        <f>VLOOKUP(C280,[1]Sheet2!A:C,2,FALSE)</f>
        <v>补宝-物流服务</v>
      </c>
      <c r="P280" s="1" t="str">
        <f>VLOOKUP(C280,[1]Sheet2!G:H,2,FALSE)</f>
        <v>186****6788</v>
      </c>
      <c r="Q280" s="12" t="s">
        <v>48</v>
      </c>
    </row>
    <row r="281" s="1" customFormat="1" spans="1:17">
      <c r="A281" s="8" t="s">
        <v>551</v>
      </c>
      <c r="B281" s="8" t="s">
        <v>549</v>
      </c>
      <c r="C281" s="8" t="s">
        <v>504</v>
      </c>
      <c r="D281" s="8" t="s">
        <v>45</v>
      </c>
      <c r="E281" s="8" t="s">
        <v>45</v>
      </c>
      <c r="F281" s="8" t="s">
        <v>46</v>
      </c>
      <c r="G281" s="8" t="s">
        <v>34</v>
      </c>
      <c r="H281" s="8" t="s">
        <v>27</v>
      </c>
      <c r="I281" s="8" t="s">
        <v>69</v>
      </c>
      <c r="J281" s="8" t="s">
        <v>84</v>
      </c>
      <c r="K281" s="8" t="s">
        <v>30</v>
      </c>
      <c r="L281" s="8" t="s">
        <v>84</v>
      </c>
      <c r="M281" s="8" t="s">
        <v>46</v>
      </c>
      <c r="N281" s="8" t="s">
        <v>71</v>
      </c>
      <c r="O281" s="1" t="str">
        <f>VLOOKUP(C281,[1]Sheet2!A:C,2,FALSE)</f>
        <v>立充充电宝取机柜-物流服务</v>
      </c>
      <c r="P281" s="1" t="str">
        <f>VLOOKUP(C281,[1]Sheet2!G:H,2,FALSE)</f>
        <v>186****6788</v>
      </c>
      <c r="Q281" s="12" t="s">
        <v>48</v>
      </c>
    </row>
    <row r="282" s="1" customFormat="1" spans="1:17">
      <c r="A282" s="8" t="s">
        <v>552</v>
      </c>
      <c r="B282" s="8" t="s">
        <v>549</v>
      </c>
      <c r="C282" s="8" t="s">
        <v>510</v>
      </c>
      <c r="D282" s="8" t="s">
        <v>45</v>
      </c>
      <c r="E282" s="8" t="s">
        <v>45</v>
      </c>
      <c r="F282" s="8" t="s">
        <v>46</v>
      </c>
      <c r="G282" s="8" t="s">
        <v>34</v>
      </c>
      <c r="H282" s="8" t="s">
        <v>27</v>
      </c>
      <c r="I282" s="8" t="s">
        <v>69</v>
      </c>
      <c r="J282" s="8" t="s">
        <v>70</v>
      </c>
      <c r="K282" s="8" t="s">
        <v>30</v>
      </c>
      <c r="L282" s="8" t="s">
        <v>70</v>
      </c>
      <c r="M282" s="8" t="s">
        <v>46</v>
      </c>
      <c r="N282" s="8" t="s">
        <v>71</v>
      </c>
      <c r="O282" s="1" t="str">
        <f>VLOOKUP(C282,[1]Sheet2!A:C,2,FALSE)</f>
        <v>取宝-物流服务</v>
      </c>
      <c r="P282" s="1" t="str">
        <f>VLOOKUP(C282,[1]Sheet2!G:H,2,FALSE)</f>
        <v>186****6788</v>
      </c>
      <c r="Q282" s="12" t="s">
        <v>48</v>
      </c>
    </row>
    <row r="283" s="1" customFormat="1" spans="1:17">
      <c r="A283" s="8" t="s">
        <v>553</v>
      </c>
      <c r="B283" s="8" t="s">
        <v>549</v>
      </c>
      <c r="C283" s="8" t="s">
        <v>554</v>
      </c>
      <c r="D283" s="8" t="s">
        <v>45</v>
      </c>
      <c r="E283" s="8" t="s">
        <v>45</v>
      </c>
      <c r="F283" s="8" t="s">
        <v>46</v>
      </c>
      <c r="G283" s="8" t="s">
        <v>325</v>
      </c>
      <c r="H283" s="8" t="s">
        <v>27</v>
      </c>
      <c r="I283" s="8" t="s">
        <v>28</v>
      </c>
      <c r="J283" s="8" t="s">
        <v>29</v>
      </c>
      <c r="K283" s="8" t="s">
        <v>30</v>
      </c>
      <c r="L283" s="8" t="s">
        <v>29</v>
      </c>
      <c r="M283" s="8" t="s">
        <v>46</v>
      </c>
      <c r="N283" s="8" t="s">
        <v>31</v>
      </c>
      <c r="O283" s="1" t="str">
        <f>VLOOKUP(C283,[1]Sheet2!A:C,2,FALSE)</f>
        <v>立充充电宝取机柜-物流服务</v>
      </c>
      <c r="P283" s="1" t="str">
        <f>VLOOKUP(C283,[1]Sheet2!G:H,2,FALSE)</f>
        <v>186****6788</v>
      </c>
      <c r="Q283" s="12" t="s">
        <v>48</v>
      </c>
    </row>
    <row r="284" s="1" customFormat="1" spans="1:17">
      <c r="A284" s="8" t="s">
        <v>555</v>
      </c>
      <c r="B284" s="8" t="s">
        <v>549</v>
      </c>
      <c r="C284" s="8" t="s">
        <v>554</v>
      </c>
      <c r="D284" s="8" t="s">
        <v>45</v>
      </c>
      <c r="E284" s="8" t="s">
        <v>45</v>
      </c>
      <c r="F284" s="8" t="s">
        <v>46</v>
      </c>
      <c r="G284" s="8" t="s">
        <v>34</v>
      </c>
      <c r="H284" s="8" t="s">
        <v>27</v>
      </c>
      <c r="I284" s="8" t="s">
        <v>28</v>
      </c>
      <c r="J284" s="8" t="s">
        <v>97</v>
      </c>
      <c r="K284" s="8" t="s">
        <v>30</v>
      </c>
      <c r="L284" s="8" t="s">
        <v>97</v>
      </c>
      <c r="M284" s="8" t="s">
        <v>46</v>
      </c>
      <c r="N284" s="8" t="s">
        <v>36</v>
      </c>
      <c r="O284" s="1" t="str">
        <f>VLOOKUP(C284,[1]Sheet2!A:C,2,FALSE)</f>
        <v>立充充电宝取机柜-物流服务</v>
      </c>
      <c r="P284" s="1" t="str">
        <f>VLOOKUP(C284,[1]Sheet2!G:H,2,FALSE)</f>
        <v>186****6788</v>
      </c>
      <c r="Q284" s="12" t="s">
        <v>48</v>
      </c>
    </row>
    <row r="285" s="1" customFormat="1" spans="1:17">
      <c r="A285" s="8" t="s">
        <v>556</v>
      </c>
      <c r="B285" s="8" t="s">
        <v>549</v>
      </c>
      <c r="C285" s="8" t="s">
        <v>557</v>
      </c>
      <c r="D285" s="8" t="s">
        <v>45</v>
      </c>
      <c r="E285" s="8" t="s">
        <v>76</v>
      </c>
      <c r="F285" s="8" t="s">
        <v>558</v>
      </c>
      <c r="G285" s="8" t="s">
        <v>26</v>
      </c>
      <c r="H285" s="8" t="s">
        <v>27</v>
      </c>
      <c r="I285" s="8" t="s">
        <v>28</v>
      </c>
      <c r="J285" s="8" t="s">
        <v>29</v>
      </c>
      <c r="K285" s="8" t="s">
        <v>30</v>
      </c>
      <c r="L285" s="8" t="s">
        <v>29</v>
      </c>
      <c r="M285" s="8" t="s">
        <v>78</v>
      </c>
      <c r="N285" s="8" t="s">
        <v>31</v>
      </c>
      <c r="O285" s="1" t="str">
        <f>VLOOKUP(C285,[1]Sheet2!A:C,2,FALSE)</f>
        <v>取宝-仅物流</v>
      </c>
      <c r="P285" s="1" t="str">
        <f>VLOOKUP(C285,[1]Sheet2!G:H,2,FALSE)</f>
        <v>130****4667</v>
      </c>
      <c r="Q285" s="31" t="s">
        <v>77</v>
      </c>
    </row>
    <row r="286" s="1" customFormat="1" spans="1:17">
      <c r="A286" s="8" t="s">
        <v>559</v>
      </c>
      <c r="B286" s="8" t="s">
        <v>549</v>
      </c>
      <c r="C286" s="8" t="s">
        <v>557</v>
      </c>
      <c r="D286" s="8" t="s">
        <v>45</v>
      </c>
      <c r="E286" s="8" t="s">
        <v>76</v>
      </c>
      <c r="F286" s="8" t="s">
        <v>558</v>
      </c>
      <c r="G286" s="8" t="s">
        <v>34</v>
      </c>
      <c r="H286" s="8" t="s">
        <v>27</v>
      </c>
      <c r="I286" s="8" t="s">
        <v>28</v>
      </c>
      <c r="J286" s="8" t="s">
        <v>55</v>
      </c>
      <c r="K286" s="8" t="s">
        <v>30</v>
      </c>
      <c r="L286" s="8" t="s">
        <v>55</v>
      </c>
      <c r="M286" s="8" t="s">
        <v>78</v>
      </c>
      <c r="N286" s="8" t="s">
        <v>36</v>
      </c>
      <c r="O286" s="1" t="str">
        <f>VLOOKUP(C286,[1]Sheet2!A:C,2,FALSE)</f>
        <v>取宝-仅物流</v>
      </c>
      <c r="P286" s="1" t="str">
        <f>VLOOKUP(C286,[1]Sheet2!G:H,2,FALSE)</f>
        <v>130****4667</v>
      </c>
      <c r="Q286" s="31" t="s">
        <v>77</v>
      </c>
    </row>
    <row r="287" s="1" customFormat="1" spans="1:17">
      <c r="A287" s="8" t="s">
        <v>560</v>
      </c>
      <c r="B287" s="8" t="s">
        <v>549</v>
      </c>
      <c r="C287" s="8" t="s">
        <v>561</v>
      </c>
      <c r="D287" s="8" t="s">
        <v>45</v>
      </c>
      <c r="E287" s="8" t="s">
        <v>76</v>
      </c>
      <c r="F287" s="8" t="s">
        <v>558</v>
      </c>
      <c r="G287" s="8" t="s">
        <v>26</v>
      </c>
      <c r="H287" s="8" t="s">
        <v>27</v>
      </c>
      <c r="I287" s="8" t="s">
        <v>28</v>
      </c>
      <c r="J287" s="8" t="s">
        <v>29</v>
      </c>
      <c r="K287" s="8" t="s">
        <v>30</v>
      </c>
      <c r="L287" s="8" t="s">
        <v>29</v>
      </c>
      <c r="M287" s="8" t="s">
        <v>78</v>
      </c>
      <c r="N287" s="8" t="s">
        <v>31</v>
      </c>
      <c r="O287" s="1" t="str">
        <f>VLOOKUP(C287,[1]Sheet2!A:C,2,FALSE)</f>
        <v>取宝-仅物流</v>
      </c>
      <c r="P287" s="1" t="str">
        <f>VLOOKUP(C287,[1]Sheet2!G:H,2,FALSE)</f>
        <v>130****4667</v>
      </c>
      <c r="Q287" s="31" t="s">
        <v>77</v>
      </c>
    </row>
    <row r="288" s="1" customFormat="1" spans="1:17">
      <c r="A288" s="8" t="s">
        <v>562</v>
      </c>
      <c r="B288" s="8" t="s">
        <v>549</v>
      </c>
      <c r="C288" s="8" t="s">
        <v>561</v>
      </c>
      <c r="D288" s="8" t="s">
        <v>45</v>
      </c>
      <c r="E288" s="8" t="s">
        <v>76</v>
      </c>
      <c r="F288" s="8" t="s">
        <v>558</v>
      </c>
      <c r="G288" s="8" t="s">
        <v>34</v>
      </c>
      <c r="H288" s="8" t="s">
        <v>27</v>
      </c>
      <c r="I288" s="8" t="s">
        <v>28</v>
      </c>
      <c r="J288" s="8" t="s">
        <v>55</v>
      </c>
      <c r="K288" s="8" t="s">
        <v>30</v>
      </c>
      <c r="L288" s="8" t="s">
        <v>55</v>
      </c>
      <c r="M288" s="8" t="s">
        <v>78</v>
      </c>
      <c r="N288" s="8" t="s">
        <v>36</v>
      </c>
      <c r="O288" s="1" t="str">
        <f>VLOOKUP(C288,[1]Sheet2!A:C,2,FALSE)</f>
        <v>取宝-仅物流</v>
      </c>
      <c r="P288" s="1" t="str">
        <f>VLOOKUP(C288,[1]Sheet2!G:H,2,FALSE)</f>
        <v>130****4667</v>
      </c>
      <c r="Q288" s="31" t="s">
        <v>77</v>
      </c>
    </row>
    <row r="289" s="1" customFormat="1" spans="1:17">
      <c r="A289" s="8" t="s">
        <v>563</v>
      </c>
      <c r="B289" s="8" t="s">
        <v>549</v>
      </c>
      <c r="C289" s="8" t="s">
        <v>564</v>
      </c>
      <c r="D289" s="8" t="s">
        <v>76</v>
      </c>
      <c r="E289" s="8" t="s">
        <v>45</v>
      </c>
      <c r="F289" s="8" t="s">
        <v>89</v>
      </c>
      <c r="G289" s="8" t="s">
        <v>26</v>
      </c>
      <c r="H289" s="8" t="s">
        <v>27</v>
      </c>
      <c r="I289" s="8" t="s">
        <v>28</v>
      </c>
      <c r="J289" s="8" t="s">
        <v>29</v>
      </c>
      <c r="K289" s="8" t="s">
        <v>30</v>
      </c>
      <c r="L289" s="8" t="s">
        <v>29</v>
      </c>
      <c r="M289" s="8" t="s">
        <v>90</v>
      </c>
      <c r="N289" s="8" t="s">
        <v>31</v>
      </c>
      <c r="O289" s="1" t="str">
        <f>VLOOKUP(C289,[1]Sheet2!A:C,2,FALSE)</f>
        <v>立充充电宝取机柜-仅服务</v>
      </c>
      <c r="P289" s="1" t="str">
        <f>VLOOKUP(C289,[1]Sheet2!G:H,2,FALSE)</f>
        <v>130****4667</v>
      </c>
      <c r="Q289" s="31" t="s">
        <v>77</v>
      </c>
    </row>
    <row r="290" s="1" customFormat="1" spans="1:17">
      <c r="A290" s="8" t="s">
        <v>565</v>
      </c>
      <c r="B290" s="8" t="s">
        <v>549</v>
      </c>
      <c r="C290" s="8" t="s">
        <v>566</v>
      </c>
      <c r="D290" s="8" t="s">
        <v>76</v>
      </c>
      <c r="E290" s="8" t="s">
        <v>45</v>
      </c>
      <c r="F290" s="8" t="s">
        <v>89</v>
      </c>
      <c r="G290" s="8" t="s">
        <v>64</v>
      </c>
      <c r="H290" s="8" t="s">
        <v>27</v>
      </c>
      <c r="I290" s="8" t="s">
        <v>28</v>
      </c>
      <c r="J290" s="8" t="s">
        <v>95</v>
      </c>
      <c r="K290" s="8" t="s">
        <v>30</v>
      </c>
      <c r="L290" s="8" t="s">
        <v>95</v>
      </c>
      <c r="M290" s="8" t="s">
        <v>90</v>
      </c>
      <c r="N290" s="8" t="s">
        <v>31</v>
      </c>
      <c r="O290" s="1" t="str">
        <f>VLOOKUP(C290,[1]Sheet2!A:C,2,FALSE)</f>
        <v>立充充电宝取机柜-仅服务</v>
      </c>
      <c r="P290" s="1" t="str">
        <f>VLOOKUP(C290,[1]Sheet2!G:H,2,FALSE)</f>
        <v>130****4667</v>
      </c>
      <c r="Q290" s="31" t="s">
        <v>77</v>
      </c>
    </row>
    <row r="291" s="1" customFormat="1" spans="1:17">
      <c r="A291" s="8" t="s">
        <v>567</v>
      </c>
      <c r="B291" s="8" t="s">
        <v>549</v>
      </c>
      <c r="C291" s="8" t="s">
        <v>566</v>
      </c>
      <c r="D291" s="8" t="s">
        <v>76</v>
      </c>
      <c r="E291" s="8" t="s">
        <v>45</v>
      </c>
      <c r="F291" s="8" t="s">
        <v>89</v>
      </c>
      <c r="G291" s="8" t="s">
        <v>34</v>
      </c>
      <c r="H291" s="8" t="s">
        <v>27</v>
      </c>
      <c r="I291" s="8" t="s">
        <v>28</v>
      </c>
      <c r="J291" s="8" t="s">
        <v>84</v>
      </c>
      <c r="K291" s="8" t="s">
        <v>30</v>
      </c>
      <c r="L291" s="8" t="s">
        <v>84</v>
      </c>
      <c r="M291" s="8" t="s">
        <v>90</v>
      </c>
      <c r="N291" s="8" t="s">
        <v>36</v>
      </c>
      <c r="O291" s="1" t="str">
        <f>VLOOKUP(C291,[1]Sheet2!A:C,2,FALSE)</f>
        <v>立充充电宝取机柜-仅服务</v>
      </c>
      <c r="P291" s="1" t="str">
        <f>VLOOKUP(C291,[1]Sheet2!G:H,2,FALSE)</f>
        <v>130****4667</v>
      </c>
      <c r="Q291" s="31" t="s">
        <v>77</v>
      </c>
    </row>
    <row r="292" s="1" customFormat="1" spans="1:17">
      <c r="A292" s="8" t="s">
        <v>568</v>
      </c>
      <c r="B292" s="8" t="s">
        <v>549</v>
      </c>
      <c r="C292" s="8" t="s">
        <v>519</v>
      </c>
      <c r="D292" s="8" t="s">
        <v>137</v>
      </c>
      <c r="E292" s="8" t="s">
        <v>45</v>
      </c>
      <c r="F292" s="8" t="s">
        <v>46</v>
      </c>
      <c r="G292" s="8" t="s">
        <v>34</v>
      </c>
      <c r="H292" s="8" t="s">
        <v>27</v>
      </c>
      <c r="I292" s="8" t="s">
        <v>69</v>
      </c>
      <c r="J292" s="8" t="s">
        <v>70</v>
      </c>
      <c r="K292" s="8" t="s">
        <v>30</v>
      </c>
      <c r="L292" s="8" t="s">
        <v>70</v>
      </c>
      <c r="M292" s="8" t="s">
        <v>46</v>
      </c>
      <c r="N292" s="8" t="s">
        <v>71</v>
      </c>
      <c r="O292" s="1" t="str">
        <f>VLOOKUP(C292,[1]Sheet2!A:C,2,FALSE)</f>
        <v>取宝-物流服务</v>
      </c>
      <c r="P292" s="1" t="str">
        <f>VLOOKUP(C292,[1]Sheet2!G:H,2,FALSE)</f>
        <v>186****6788</v>
      </c>
      <c r="Q292" s="12" t="s">
        <v>48</v>
      </c>
    </row>
    <row r="293" s="1" customFormat="1" spans="1:17">
      <c r="A293" s="8" t="s">
        <v>569</v>
      </c>
      <c r="B293" s="8" t="s">
        <v>549</v>
      </c>
      <c r="C293" s="8" t="s">
        <v>522</v>
      </c>
      <c r="D293" s="8" t="s">
        <v>137</v>
      </c>
      <c r="E293" s="8" t="s">
        <v>45</v>
      </c>
      <c r="F293" s="8" t="s">
        <v>46</v>
      </c>
      <c r="G293" s="8" t="s">
        <v>34</v>
      </c>
      <c r="H293" s="8" t="s">
        <v>27</v>
      </c>
      <c r="I293" s="8" t="s">
        <v>69</v>
      </c>
      <c r="J293" s="8" t="s">
        <v>70</v>
      </c>
      <c r="K293" s="8" t="s">
        <v>30</v>
      </c>
      <c r="L293" s="8" t="s">
        <v>70</v>
      </c>
      <c r="M293" s="8" t="s">
        <v>46</v>
      </c>
      <c r="N293" s="8" t="s">
        <v>71</v>
      </c>
      <c r="O293" s="1" t="str">
        <f>VLOOKUP(C293,[1]Sheet2!A:C,2,FALSE)</f>
        <v>取宝-物流服务</v>
      </c>
      <c r="P293" s="1" t="str">
        <f>VLOOKUP(C293,[1]Sheet2!G:H,2,FALSE)</f>
        <v>186****6788</v>
      </c>
      <c r="Q293" s="12" t="s">
        <v>48</v>
      </c>
    </row>
    <row r="294" s="1" customFormat="1" spans="1:17">
      <c r="A294" s="8" t="s">
        <v>570</v>
      </c>
      <c r="B294" s="8" t="s">
        <v>549</v>
      </c>
      <c r="C294" s="8" t="s">
        <v>525</v>
      </c>
      <c r="D294" s="8" t="s">
        <v>137</v>
      </c>
      <c r="E294" s="8" t="s">
        <v>45</v>
      </c>
      <c r="F294" s="8" t="s">
        <v>46</v>
      </c>
      <c r="G294" s="8" t="s">
        <v>34</v>
      </c>
      <c r="H294" s="8" t="s">
        <v>27</v>
      </c>
      <c r="I294" s="8" t="s">
        <v>69</v>
      </c>
      <c r="J294" s="8" t="s">
        <v>84</v>
      </c>
      <c r="K294" s="8" t="s">
        <v>30</v>
      </c>
      <c r="L294" s="8" t="s">
        <v>84</v>
      </c>
      <c r="M294" s="8" t="s">
        <v>46</v>
      </c>
      <c r="N294" s="8" t="s">
        <v>71</v>
      </c>
      <c r="O294" s="1" t="str">
        <f>VLOOKUP(C294,[1]Sheet2!A:C,2,FALSE)</f>
        <v>立充充电宝取机柜-物流服务</v>
      </c>
      <c r="P294" s="1" t="str">
        <f>VLOOKUP(C294,[1]Sheet2!G:H,2,FALSE)</f>
        <v>186****6788</v>
      </c>
      <c r="Q294" s="12" t="s">
        <v>48</v>
      </c>
    </row>
    <row r="295" s="1" customFormat="1" spans="1:17">
      <c r="A295" s="8" t="s">
        <v>571</v>
      </c>
      <c r="B295" s="8" t="s">
        <v>549</v>
      </c>
      <c r="C295" s="8" t="s">
        <v>528</v>
      </c>
      <c r="D295" s="8" t="s">
        <v>204</v>
      </c>
      <c r="E295" s="8" t="s">
        <v>205</v>
      </c>
      <c r="F295" s="8" t="s">
        <v>210</v>
      </c>
      <c r="G295" s="8" t="s">
        <v>34</v>
      </c>
      <c r="H295" s="8" t="s">
        <v>27</v>
      </c>
      <c r="I295" s="8" t="s">
        <v>69</v>
      </c>
      <c r="J295" s="8" t="s">
        <v>84</v>
      </c>
      <c r="K295" s="8" t="s">
        <v>30</v>
      </c>
      <c r="L295" s="8" t="s">
        <v>84</v>
      </c>
      <c r="M295" s="8" t="s">
        <v>531</v>
      </c>
      <c r="N295" s="8" t="s">
        <v>71</v>
      </c>
      <c r="O295" s="1" t="str">
        <f>VLOOKUP(C295,[1]Sheet2!A:C,2,FALSE)</f>
        <v>立充充电宝取机柜-物流服务</v>
      </c>
      <c r="P295" s="1" t="str">
        <f>VLOOKUP(C295,[1]Sheet2!G:H,2,FALSE)</f>
        <v>131****2614</v>
      </c>
      <c r="Q295" s="31" t="s">
        <v>210</v>
      </c>
    </row>
    <row r="296" s="1" customFormat="1" spans="1:17">
      <c r="A296" s="8" t="s">
        <v>572</v>
      </c>
      <c r="B296" s="8" t="s">
        <v>549</v>
      </c>
      <c r="C296" s="8" t="s">
        <v>534</v>
      </c>
      <c r="D296" s="8" t="s">
        <v>204</v>
      </c>
      <c r="E296" s="8" t="s">
        <v>205</v>
      </c>
      <c r="F296" s="8" t="s">
        <v>209</v>
      </c>
      <c r="G296" s="8" t="s">
        <v>34</v>
      </c>
      <c r="H296" s="8" t="s">
        <v>27</v>
      </c>
      <c r="I296" s="8" t="s">
        <v>69</v>
      </c>
      <c r="J296" s="8" t="s">
        <v>84</v>
      </c>
      <c r="K296" s="8" t="s">
        <v>30</v>
      </c>
      <c r="L296" s="8" t="s">
        <v>84</v>
      </c>
      <c r="M296" s="8" t="s">
        <v>531</v>
      </c>
      <c r="N296" s="8" t="s">
        <v>71</v>
      </c>
      <c r="O296" s="1" t="str">
        <f>VLOOKUP(C296,[1]Sheet2!A:C,2,FALSE)</f>
        <v>立充充电宝取机柜-物流服务</v>
      </c>
      <c r="P296" s="1" t="str">
        <f>VLOOKUP(C296,[1]Sheet2!G:H,2,FALSE)</f>
        <v>131****2614</v>
      </c>
      <c r="Q296" s="31" t="s">
        <v>210</v>
      </c>
    </row>
    <row r="297" s="1" customFormat="1" spans="1:17">
      <c r="A297" s="8" t="s">
        <v>573</v>
      </c>
      <c r="B297" s="8" t="s">
        <v>549</v>
      </c>
      <c r="C297" s="8" t="s">
        <v>537</v>
      </c>
      <c r="D297" s="8" t="s">
        <v>204</v>
      </c>
      <c r="E297" s="8" t="s">
        <v>205</v>
      </c>
      <c r="F297" s="8" t="s">
        <v>209</v>
      </c>
      <c r="G297" s="8" t="s">
        <v>34</v>
      </c>
      <c r="H297" s="8" t="s">
        <v>27</v>
      </c>
      <c r="I297" s="8" t="s">
        <v>69</v>
      </c>
      <c r="J297" s="8" t="s">
        <v>84</v>
      </c>
      <c r="K297" s="8" t="s">
        <v>30</v>
      </c>
      <c r="L297" s="8" t="s">
        <v>84</v>
      </c>
      <c r="M297" s="8" t="s">
        <v>531</v>
      </c>
      <c r="N297" s="8" t="s">
        <v>71</v>
      </c>
      <c r="O297" s="1" t="str">
        <f>VLOOKUP(C297,[1]Sheet2!A:C,2,FALSE)</f>
        <v>立充充电宝取机柜-物流服务</v>
      </c>
      <c r="P297" s="1" t="str">
        <f>VLOOKUP(C297,[1]Sheet2!G:H,2,FALSE)</f>
        <v>131****2614</v>
      </c>
      <c r="Q297" s="31" t="s">
        <v>210</v>
      </c>
    </row>
    <row r="298" s="1" customFormat="1" spans="1:17">
      <c r="A298" s="8" t="s">
        <v>574</v>
      </c>
      <c r="B298" s="8" t="s">
        <v>549</v>
      </c>
      <c r="C298" s="8" t="s">
        <v>540</v>
      </c>
      <c r="D298" s="8" t="s">
        <v>204</v>
      </c>
      <c r="E298" s="8" t="s">
        <v>205</v>
      </c>
      <c r="F298" s="8" t="s">
        <v>209</v>
      </c>
      <c r="G298" s="8" t="s">
        <v>34</v>
      </c>
      <c r="H298" s="8" t="s">
        <v>27</v>
      </c>
      <c r="I298" s="8" t="s">
        <v>69</v>
      </c>
      <c r="J298" s="8" t="s">
        <v>84</v>
      </c>
      <c r="K298" s="8" t="s">
        <v>30</v>
      </c>
      <c r="L298" s="8" t="s">
        <v>84</v>
      </c>
      <c r="M298" s="8" t="s">
        <v>531</v>
      </c>
      <c r="N298" s="8" t="s">
        <v>71</v>
      </c>
      <c r="O298" s="1" t="str">
        <f>VLOOKUP(C298,[1]Sheet2!A:C,2,FALSE)</f>
        <v>立充充电宝取机柜-物流服务</v>
      </c>
      <c r="P298" s="1" t="str">
        <f>VLOOKUP(C298,[1]Sheet2!G:H,2,FALSE)</f>
        <v>131****2614</v>
      </c>
      <c r="Q298" s="31" t="s">
        <v>210</v>
      </c>
    </row>
    <row r="299" s="1" customFormat="1" spans="1:17">
      <c r="A299" s="8" t="s">
        <v>575</v>
      </c>
      <c r="B299" s="8" t="s">
        <v>549</v>
      </c>
      <c r="C299" s="8" t="s">
        <v>543</v>
      </c>
      <c r="D299" s="8" t="s">
        <v>204</v>
      </c>
      <c r="E299" s="8" t="s">
        <v>205</v>
      </c>
      <c r="F299" s="8" t="s">
        <v>209</v>
      </c>
      <c r="G299" s="8" t="s">
        <v>34</v>
      </c>
      <c r="H299" s="8" t="s">
        <v>27</v>
      </c>
      <c r="I299" s="8" t="s">
        <v>69</v>
      </c>
      <c r="J299" s="8" t="s">
        <v>84</v>
      </c>
      <c r="K299" s="8" t="s">
        <v>30</v>
      </c>
      <c r="L299" s="8" t="s">
        <v>84</v>
      </c>
      <c r="M299" s="8" t="s">
        <v>531</v>
      </c>
      <c r="N299" s="8" t="s">
        <v>71</v>
      </c>
      <c r="O299" s="1" t="str">
        <f>VLOOKUP(C299,[1]Sheet2!A:C,2,FALSE)</f>
        <v>立充充电宝取机柜-物流服务</v>
      </c>
      <c r="P299" s="1" t="str">
        <f>VLOOKUP(C299,[1]Sheet2!G:H,2,FALSE)</f>
        <v>131****2614</v>
      </c>
      <c r="Q299" s="31" t="s">
        <v>210</v>
      </c>
    </row>
    <row r="300" s="1" customFormat="1" spans="1:17">
      <c r="A300" s="8" t="s">
        <v>576</v>
      </c>
      <c r="B300" s="8" t="s">
        <v>549</v>
      </c>
      <c r="C300" s="8" t="s">
        <v>546</v>
      </c>
      <c r="D300" s="8" t="s">
        <v>204</v>
      </c>
      <c r="E300" s="8" t="s">
        <v>205</v>
      </c>
      <c r="F300" s="8" t="s">
        <v>209</v>
      </c>
      <c r="G300" s="8" t="s">
        <v>34</v>
      </c>
      <c r="H300" s="8" t="s">
        <v>27</v>
      </c>
      <c r="I300" s="8" t="s">
        <v>69</v>
      </c>
      <c r="J300" s="8" t="s">
        <v>84</v>
      </c>
      <c r="K300" s="8" t="s">
        <v>30</v>
      </c>
      <c r="L300" s="8" t="s">
        <v>84</v>
      </c>
      <c r="M300" s="8" t="s">
        <v>531</v>
      </c>
      <c r="N300" s="8" t="s">
        <v>71</v>
      </c>
      <c r="O300" s="1" t="str">
        <f>VLOOKUP(C300,[1]Sheet2!A:C,2,FALSE)</f>
        <v>立充充电宝取机柜-物流服务</v>
      </c>
      <c r="P300" s="1" t="str">
        <f>VLOOKUP(C300,[1]Sheet2!G:H,2,FALSE)</f>
        <v>131****2614</v>
      </c>
      <c r="Q300" s="31" t="s">
        <v>210</v>
      </c>
    </row>
    <row r="301" s="1" customFormat="1" spans="1:17">
      <c r="A301" s="8" t="s">
        <v>577</v>
      </c>
      <c r="B301" s="8" t="s">
        <v>549</v>
      </c>
      <c r="C301" s="8" t="s">
        <v>578</v>
      </c>
      <c r="D301" s="8" t="s">
        <v>45</v>
      </c>
      <c r="E301" s="8" t="s">
        <v>45</v>
      </c>
      <c r="F301" s="8" t="s">
        <v>46</v>
      </c>
      <c r="G301" s="8" t="s">
        <v>579</v>
      </c>
      <c r="H301" s="8" t="s">
        <v>27</v>
      </c>
      <c r="I301" s="8" t="s">
        <v>28</v>
      </c>
      <c r="J301" s="8" t="s">
        <v>192</v>
      </c>
      <c r="K301" s="8" t="s">
        <v>30</v>
      </c>
      <c r="L301" s="8" t="s">
        <v>192</v>
      </c>
      <c r="M301" s="8" t="s">
        <v>46</v>
      </c>
      <c r="N301" s="8" t="s">
        <v>31</v>
      </c>
      <c r="O301" s="1" t="str">
        <f>VLOOKUP(C301,[1]Sheet2!A:C,2,FALSE)</f>
        <v>立充充电宝取机柜-物流服务</v>
      </c>
      <c r="P301" s="1" t="str">
        <f>VLOOKUP(C301,[1]Sheet2!G:H,2,FALSE)</f>
        <v>186****6788</v>
      </c>
      <c r="Q301" s="12" t="s">
        <v>48</v>
      </c>
    </row>
    <row r="302" s="1" customFormat="1" spans="1:17">
      <c r="A302" s="8" t="s">
        <v>580</v>
      </c>
      <c r="B302" s="8" t="s">
        <v>549</v>
      </c>
      <c r="C302" s="8" t="s">
        <v>578</v>
      </c>
      <c r="D302" s="8" t="s">
        <v>45</v>
      </c>
      <c r="E302" s="8" t="s">
        <v>45</v>
      </c>
      <c r="F302" s="8" t="s">
        <v>46</v>
      </c>
      <c r="G302" s="8" t="s">
        <v>34</v>
      </c>
      <c r="H302" s="8" t="s">
        <v>27</v>
      </c>
      <c r="I302" s="8" t="s">
        <v>28</v>
      </c>
      <c r="J302" s="8" t="s">
        <v>113</v>
      </c>
      <c r="K302" s="8" t="s">
        <v>30</v>
      </c>
      <c r="L302" s="8" t="s">
        <v>113</v>
      </c>
      <c r="M302" s="8" t="s">
        <v>46</v>
      </c>
      <c r="N302" s="8" t="s">
        <v>36</v>
      </c>
      <c r="O302" s="1" t="str">
        <f>VLOOKUP(C302,[1]Sheet2!A:C,2,FALSE)</f>
        <v>立充充电宝取机柜-物流服务</v>
      </c>
      <c r="P302" s="1" t="str">
        <f>VLOOKUP(C302,[1]Sheet2!G:H,2,FALSE)</f>
        <v>186****6788</v>
      </c>
      <c r="Q302" s="12" t="s">
        <v>48</v>
      </c>
    </row>
    <row r="303" s="1" customFormat="1" spans="1:17">
      <c r="A303" s="8" t="s">
        <v>581</v>
      </c>
      <c r="B303" s="8" t="s">
        <v>549</v>
      </c>
      <c r="C303" s="8" t="s">
        <v>582</v>
      </c>
      <c r="D303" s="8" t="s">
        <v>45</v>
      </c>
      <c r="E303" s="8" t="s">
        <v>45</v>
      </c>
      <c r="F303" s="8" t="s">
        <v>46</v>
      </c>
      <c r="G303" s="8" t="s">
        <v>26</v>
      </c>
      <c r="H303" s="8" t="s">
        <v>27</v>
      </c>
      <c r="I303" s="8" t="s">
        <v>28</v>
      </c>
      <c r="J303" s="8" t="s">
        <v>47</v>
      </c>
      <c r="K303" s="8" t="s">
        <v>30</v>
      </c>
      <c r="L303" s="8" t="s">
        <v>47</v>
      </c>
      <c r="M303" s="8" t="s">
        <v>46</v>
      </c>
      <c r="N303" s="8" t="s">
        <v>31</v>
      </c>
      <c r="O303" s="1" t="str">
        <f>VLOOKUP(C303,[1]Sheet2!A:C,2,FALSE)</f>
        <v>取宝-物流服务</v>
      </c>
      <c r="P303" s="1" t="str">
        <f>VLOOKUP(C303,[1]Sheet2!G:H,2,FALSE)</f>
        <v>186****6788</v>
      </c>
      <c r="Q303" s="12" t="s">
        <v>48</v>
      </c>
    </row>
    <row r="304" s="1" customFormat="1" spans="1:17">
      <c r="A304" s="8" t="s">
        <v>583</v>
      </c>
      <c r="B304" s="8" t="s">
        <v>549</v>
      </c>
      <c r="C304" s="8" t="s">
        <v>582</v>
      </c>
      <c r="D304" s="8" t="s">
        <v>45</v>
      </c>
      <c r="E304" s="8" t="s">
        <v>45</v>
      </c>
      <c r="F304" s="8" t="s">
        <v>46</v>
      </c>
      <c r="G304" s="8" t="s">
        <v>34</v>
      </c>
      <c r="H304" s="8" t="s">
        <v>27</v>
      </c>
      <c r="I304" s="8" t="s">
        <v>28</v>
      </c>
      <c r="J304" s="8" t="s">
        <v>35</v>
      </c>
      <c r="K304" s="8" t="s">
        <v>30</v>
      </c>
      <c r="L304" s="8" t="s">
        <v>35</v>
      </c>
      <c r="M304" s="8" t="s">
        <v>46</v>
      </c>
      <c r="N304" s="8" t="s">
        <v>36</v>
      </c>
      <c r="O304" s="1" t="str">
        <f>VLOOKUP(C304,[1]Sheet2!A:C,2,FALSE)</f>
        <v>取宝-物流服务</v>
      </c>
      <c r="P304" s="1" t="str">
        <f>VLOOKUP(C304,[1]Sheet2!G:H,2,FALSE)</f>
        <v>186****6788</v>
      </c>
      <c r="Q304" s="12" t="s">
        <v>48</v>
      </c>
    </row>
    <row r="305" s="1" customFormat="1" spans="1:17">
      <c r="A305" s="8" t="s">
        <v>584</v>
      </c>
      <c r="B305" s="8" t="s">
        <v>549</v>
      </c>
      <c r="C305" s="8" t="s">
        <v>585</v>
      </c>
      <c r="D305" s="8" t="s">
        <v>45</v>
      </c>
      <c r="E305" s="8" t="s">
        <v>45</v>
      </c>
      <c r="F305" s="8" t="s">
        <v>46</v>
      </c>
      <c r="G305" s="8" t="s">
        <v>26</v>
      </c>
      <c r="H305" s="8" t="s">
        <v>27</v>
      </c>
      <c r="I305" s="8" t="s">
        <v>28</v>
      </c>
      <c r="J305" s="8" t="s">
        <v>47</v>
      </c>
      <c r="K305" s="8" t="s">
        <v>30</v>
      </c>
      <c r="L305" s="8" t="s">
        <v>47</v>
      </c>
      <c r="M305" s="8" t="s">
        <v>46</v>
      </c>
      <c r="N305" s="8" t="s">
        <v>31</v>
      </c>
      <c r="O305" s="1" t="str">
        <f>VLOOKUP(C305,[1]Sheet2!A:C,2,FALSE)</f>
        <v>取宝-物流服务</v>
      </c>
      <c r="P305" s="1" t="str">
        <f>VLOOKUP(C305,[1]Sheet2!G:H,2,FALSE)</f>
        <v>186****6788</v>
      </c>
      <c r="Q305" s="12" t="s">
        <v>48</v>
      </c>
    </row>
    <row r="306" s="1" customFormat="1" spans="1:17">
      <c r="A306" s="8" t="s">
        <v>586</v>
      </c>
      <c r="B306" s="8" t="s">
        <v>549</v>
      </c>
      <c r="C306" s="8" t="s">
        <v>585</v>
      </c>
      <c r="D306" s="8" t="s">
        <v>45</v>
      </c>
      <c r="E306" s="8" t="s">
        <v>45</v>
      </c>
      <c r="F306" s="8" t="s">
        <v>46</v>
      </c>
      <c r="G306" s="8" t="s">
        <v>34</v>
      </c>
      <c r="H306" s="8" t="s">
        <v>27</v>
      </c>
      <c r="I306" s="8" t="s">
        <v>28</v>
      </c>
      <c r="J306" s="8" t="s">
        <v>35</v>
      </c>
      <c r="K306" s="8" t="s">
        <v>30</v>
      </c>
      <c r="L306" s="8" t="s">
        <v>35</v>
      </c>
      <c r="M306" s="8" t="s">
        <v>46</v>
      </c>
      <c r="N306" s="8" t="s">
        <v>36</v>
      </c>
      <c r="O306" s="1" t="str">
        <f>VLOOKUP(C306,[1]Sheet2!A:C,2,FALSE)</f>
        <v>取宝-物流服务</v>
      </c>
      <c r="P306" s="1" t="str">
        <f>VLOOKUP(C306,[1]Sheet2!G:H,2,FALSE)</f>
        <v>186****6788</v>
      </c>
      <c r="Q306" s="12" t="s">
        <v>48</v>
      </c>
    </row>
    <row r="307" s="1" customFormat="1" spans="1:17">
      <c r="A307" s="8" t="s">
        <v>587</v>
      </c>
      <c r="B307" s="8" t="s">
        <v>549</v>
      </c>
      <c r="C307" s="8" t="s">
        <v>588</v>
      </c>
      <c r="D307" s="8" t="s">
        <v>45</v>
      </c>
      <c r="E307" s="8" t="s">
        <v>76</v>
      </c>
      <c r="F307" s="8" t="s">
        <v>558</v>
      </c>
      <c r="G307" s="8" t="s">
        <v>26</v>
      </c>
      <c r="H307" s="8" t="s">
        <v>27</v>
      </c>
      <c r="I307" s="8" t="s">
        <v>28</v>
      </c>
      <c r="J307" s="8" t="s">
        <v>29</v>
      </c>
      <c r="K307" s="8" t="s">
        <v>30</v>
      </c>
      <c r="L307" s="8" t="s">
        <v>29</v>
      </c>
      <c r="M307" s="8" t="s">
        <v>78</v>
      </c>
      <c r="N307" s="8" t="s">
        <v>31</v>
      </c>
      <c r="O307" s="1" t="str">
        <f>VLOOKUP(C307,[1]Sheet2!A:C,2,FALSE)</f>
        <v>取宝-仅物流</v>
      </c>
      <c r="P307" s="1" t="str">
        <f>VLOOKUP(C307,[1]Sheet2!G:H,2,FALSE)</f>
        <v>130****4667</v>
      </c>
      <c r="Q307" s="31" t="s">
        <v>77</v>
      </c>
    </row>
    <row r="308" s="1" customFormat="1" spans="1:17">
      <c r="A308" s="8" t="s">
        <v>589</v>
      </c>
      <c r="B308" s="8" t="s">
        <v>549</v>
      </c>
      <c r="C308" s="8" t="s">
        <v>588</v>
      </c>
      <c r="D308" s="8" t="s">
        <v>45</v>
      </c>
      <c r="E308" s="8" t="s">
        <v>76</v>
      </c>
      <c r="F308" s="8" t="s">
        <v>558</v>
      </c>
      <c r="G308" s="8" t="s">
        <v>34</v>
      </c>
      <c r="H308" s="8" t="s">
        <v>27</v>
      </c>
      <c r="I308" s="8" t="s">
        <v>28</v>
      </c>
      <c r="J308" s="8" t="s">
        <v>55</v>
      </c>
      <c r="K308" s="8" t="s">
        <v>30</v>
      </c>
      <c r="L308" s="8" t="s">
        <v>55</v>
      </c>
      <c r="M308" s="8" t="s">
        <v>78</v>
      </c>
      <c r="N308" s="8" t="s">
        <v>36</v>
      </c>
      <c r="O308" s="1" t="str">
        <f>VLOOKUP(C308,[1]Sheet2!A:C,2,FALSE)</f>
        <v>取宝-仅物流</v>
      </c>
      <c r="P308" s="1" t="str">
        <f>VLOOKUP(C308,[1]Sheet2!G:H,2,FALSE)</f>
        <v>130****4667</v>
      </c>
      <c r="Q308" s="31" t="s">
        <v>77</v>
      </c>
    </row>
    <row r="309" s="1" customFormat="1" spans="1:17">
      <c r="A309" s="8" t="s">
        <v>590</v>
      </c>
      <c r="B309" s="8" t="s">
        <v>549</v>
      </c>
      <c r="C309" s="8" t="s">
        <v>591</v>
      </c>
      <c r="D309" s="8" t="s">
        <v>45</v>
      </c>
      <c r="E309" s="8" t="s">
        <v>76</v>
      </c>
      <c r="F309" s="8" t="s">
        <v>558</v>
      </c>
      <c r="G309" s="8" t="s">
        <v>26</v>
      </c>
      <c r="H309" s="8" t="s">
        <v>27</v>
      </c>
      <c r="I309" s="8" t="s">
        <v>28</v>
      </c>
      <c r="J309" s="8" t="s">
        <v>29</v>
      </c>
      <c r="K309" s="8" t="s">
        <v>30</v>
      </c>
      <c r="L309" s="8" t="s">
        <v>29</v>
      </c>
      <c r="M309" s="8" t="s">
        <v>78</v>
      </c>
      <c r="N309" s="8" t="s">
        <v>31</v>
      </c>
      <c r="O309" s="1" t="str">
        <f>VLOOKUP(C309,[1]Sheet2!A:C,2,FALSE)</f>
        <v>取宝-仅物流</v>
      </c>
      <c r="P309" s="1" t="str">
        <f>VLOOKUP(C309,[1]Sheet2!G:H,2,FALSE)</f>
        <v>130****4667</v>
      </c>
      <c r="Q309" s="31" t="s">
        <v>77</v>
      </c>
    </row>
    <row r="310" s="1" customFormat="1" spans="1:17">
      <c r="A310" s="8" t="s">
        <v>592</v>
      </c>
      <c r="B310" s="8" t="s">
        <v>549</v>
      </c>
      <c r="C310" s="8" t="s">
        <v>591</v>
      </c>
      <c r="D310" s="8" t="s">
        <v>45</v>
      </c>
      <c r="E310" s="8" t="s">
        <v>76</v>
      </c>
      <c r="F310" s="8" t="s">
        <v>558</v>
      </c>
      <c r="G310" s="8" t="s">
        <v>34</v>
      </c>
      <c r="H310" s="8" t="s">
        <v>27</v>
      </c>
      <c r="I310" s="8" t="s">
        <v>28</v>
      </c>
      <c r="J310" s="8" t="s">
        <v>55</v>
      </c>
      <c r="K310" s="8" t="s">
        <v>30</v>
      </c>
      <c r="L310" s="8" t="s">
        <v>55</v>
      </c>
      <c r="M310" s="8" t="s">
        <v>78</v>
      </c>
      <c r="N310" s="8" t="s">
        <v>36</v>
      </c>
      <c r="O310" s="1" t="str">
        <f>VLOOKUP(C310,[1]Sheet2!A:C,2,FALSE)</f>
        <v>取宝-仅物流</v>
      </c>
      <c r="P310" s="1" t="str">
        <f>VLOOKUP(C310,[1]Sheet2!G:H,2,FALSE)</f>
        <v>130****4667</v>
      </c>
      <c r="Q310" s="31" t="s">
        <v>77</v>
      </c>
    </row>
    <row r="311" s="1" customFormat="1" spans="1:17">
      <c r="A311" s="8" t="s">
        <v>593</v>
      </c>
      <c r="B311" s="8" t="s">
        <v>549</v>
      </c>
      <c r="C311" s="8" t="s">
        <v>594</v>
      </c>
      <c r="D311" s="8" t="s">
        <v>45</v>
      </c>
      <c r="E311" s="8" t="s">
        <v>76</v>
      </c>
      <c r="F311" s="8" t="s">
        <v>558</v>
      </c>
      <c r="G311" s="8" t="s">
        <v>26</v>
      </c>
      <c r="H311" s="8" t="s">
        <v>27</v>
      </c>
      <c r="I311" s="8" t="s">
        <v>28</v>
      </c>
      <c r="J311" s="8" t="s">
        <v>29</v>
      </c>
      <c r="K311" s="8" t="s">
        <v>30</v>
      </c>
      <c r="L311" s="8" t="s">
        <v>29</v>
      </c>
      <c r="M311" s="8" t="s">
        <v>78</v>
      </c>
      <c r="N311" s="8" t="s">
        <v>31</v>
      </c>
      <c r="O311" s="1" t="str">
        <f>VLOOKUP(C311,[1]Sheet2!A:C,2,FALSE)</f>
        <v>取宝-仅物流</v>
      </c>
      <c r="P311" s="1" t="str">
        <f>VLOOKUP(C311,[1]Sheet2!G:H,2,FALSE)</f>
        <v>130****4667</v>
      </c>
      <c r="Q311" s="31" t="s">
        <v>77</v>
      </c>
    </row>
    <row r="312" s="1" customFormat="1" spans="1:17">
      <c r="A312" s="8" t="s">
        <v>595</v>
      </c>
      <c r="B312" s="8" t="s">
        <v>549</v>
      </c>
      <c r="C312" s="8" t="s">
        <v>594</v>
      </c>
      <c r="D312" s="8" t="s">
        <v>45</v>
      </c>
      <c r="E312" s="8" t="s">
        <v>76</v>
      </c>
      <c r="F312" s="8" t="s">
        <v>558</v>
      </c>
      <c r="G312" s="8" t="s">
        <v>34</v>
      </c>
      <c r="H312" s="8" t="s">
        <v>27</v>
      </c>
      <c r="I312" s="8" t="s">
        <v>28</v>
      </c>
      <c r="J312" s="8" t="s">
        <v>55</v>
      </c>
      <c r="K312" s="8" t="s">
        <v>30</v>
      </c>
      <c r="L312" s="8" t="s">
        <v>55</v>
      </c>
      <c r="M312" s="8" t="s">
        <v>78</v>
      </c>
      <c r="N312" s="8" t="s">
        <v>36</v>
      </c>
      <c r="O312" s="1" t="str">
        <f>VLOOKUP(C312,[1]Sheet2!A:C,2,FALSE)</f>
        <v>取宝-仅物流</v>
      </c>
      <c r="P312" s="1" t="str">
        <f>VLOOKUP(C312,[1]Sheet2!G:H,2,FALSE)</f>
        <v>130****4667</v>
      </c>
      <c r="Q312" s="31" t="s">
        <v>77</v>
      </c>
    </row>
    <row r="313" s="1" customFormat="1" spans="1:17">
      <c r="A313" s="8" t="s">
        <v>596</v>
      </c>
      <c r="B313" s="8" t="s">
        <v>549</v>
      </c>
      <c r="C313" s="8" t="s">
        <v>597</v>
      </c>
      <c r="D313" s="8" t="s">
        <v>76</v>
      </c>
      <c r="E313" s="8" t="s">
        <v>45</v>
      </c>
      <c r="F313" s="8" t="s">
        <v>89</v>
      </c>
      <c r="G313" s="8" t="s">
        <v>26</v>
      </c>
      <c r="H313" s="8" t="s">
        <v>27</v>
      </c>
      <c r="I313" s="8" t="s">
        <v>28</v>
      </c>
      <c r="J313" s="8" t="s">
        <v>29</v>
      </c>
      <c r="K313" s="8" t="s">
        <v>30</v>
      </c>
      <c r="L313" s="8" t="s">
        <v>29</v>
      </c>
      <c r="M313" s="8" t="s">
        <v>90</v>
      </c>
      <c r="N313" s="8" t="s">
        <v>31</v>
      </c>
      <c r="O313" s="1" t="str">
        <f>VLOOKUP(C313,[1]Sheet2!A:C,2,FALSE)</f>
        <v>立充充电宝取机柜-仅服务</v>
      </c>
      <c r="P313" s="1" t="str">
        <f>VLOOKUP(C313,[1]Sheet2!G:H,2,FALSE)</f>
        <v>130****4667</v>
      </c>
      <c r="Q313" s="31" t="s">
        <v>77</v>
      </c>
    </row>
    <row r="314" s="1" customFormat="1" spans="1:17">
      <c r="A314" s="8" t="s">
        <v>598</v>
      </c>
      <c r="B314" s="8" t="s">
        <v>599</v>
      </c>
      <c r="C314" s="8" t="s">
        <v>600</v>
      </c>
      <c r="D314" s="8" t="s">
        <v>601</v>
      </c>
      <c r="E314" s="8" t="s">
        <v>205</v>
      </c>
      <c r="F314" s="8" t="s">
        <v>209</v>
      </c>
      <c r="G314" s="8" t="s">
        <v>602</v>
      </c>
      <c r="H314" s="8" t="s">
        <v>27</v>
      </c>
      <c r="I314" s="8" t="s">
        <v>28</v>
      </c>
      <c r="J314" s="8" t="s">
        <v>603</v>
      </c>
      <c r="K314" s="8" t="s">
        <v>30</v>
      </c>
      <c r="L314" s="8" t="s">
        <v>603</v>
      </c>
      <c r="M314" s="8" t="s">
        <v>604</v>
      </c>
      <c r="N314" s="8" t="s">
        <v>31</v>
      </c>
      <c r="O314" s="1" t="str">
        <f>VLOOKUP(C314,[1]Sheet2!A:C,2,FALSE)</f>
        <v>立充充电宝取机柜-物流服务</v>
      </c>
      <c r="P314" s="1" t="str">
        <f>VLOOKUP(C314,[1]Sheet2!G:H,2,FALSE)</f>
        <v>131****2614</v>
      </c>
      <c r="Q314" s="31" t="s">
        <v>210</v>
      </c>
    </row>
    <row r="315" s="1" customFormat="1" spans="1:17">
      <c r="A315" s="8" t="s">
        <v>605</v>
      </c>
      <c r="B315" s="8" t="s">
        <v>599</v>
      </c>
      <c r="C315" s="8" t="s">
        <v>600</v>
      </c>
      <c r="D315" s="8" t="s">
        <v>601</v>
      </c>
      <c r="E315" s="8" t="s">
        <v>205</v>
      </c>
      <c r="F315" s="8" t="s">
        <v>209</v>
      </c>
      <c r="G315" s="8" t="s">
        <v>34</v>
      </c>
      <c r="H315" s="8" t="s">
        <v>27</v>
      </c>
      <c r="I315" s="8" t="s">
        <v>28</v>
      </c>
      <c r="J315" s="8" t="s">
        <v>118</v>
      </c>
      <c r="K315" s="8" t="s">
        <v>30</v>
      </c>
      <c r="L315" s="8" t="s">
        <v>118</v>
      </c>
      <c r="M315" s="8" t="s">
        <v>604</v>
      </c>
      <c r="N315" s="8" t="s">
        <v>36</v>
      </c>
      <c r="O315" s="1" t="str">
        <f>VLOOKUP(C315,[1]Sheet2!A:C,2,FALSE)</f>
        <v>立充充电宝取机柜-物流服务</v>
      </c>
      <c r="P315" s="1" t="str">
        <f>VLOOKUP(C315,[1]Sheet2!G:H,2,FALSE)</f>
        <v>131****2614</v>
      </c>
      <c r="Q315" s="31" t="s">
        <v>210</v>
      </c>
    </row>
    <row r="316" s="1" customFormat="1" spans="1:17">
      <c r="A316" s="8" t="s">
        <v>606</v>
      </c>
      <c r="B316" s="8" t="s">
        <v>599</v>
      </c>
      <c r="C316" s="8" t="s">
        <v>554</v>
      </c>
      <c r="D316" s="8" t="s">
        <v>45</v>
      </c>
      <c r="E316" s="8" t="s">
        <v>45</v>
      </c>
      <c r="F316" s="8" t="s">
        <v>46</v>
      </c>
      <c r="G316" s="8" t="s">
        <v>34</v>
      </c>
      <c r="H316" s="8" t="s">
        <v>27</v>
      </c>
      <c r="I316" s="8" t="s">
        <v>69</v>
      </c>
      <c r="J316" s="8" t="s">
        <v>84</v>
      </c>
      <c r="K316" s="8" t="s">
        <v>30</v>
      </c>
      <c r="L316" s="8" t="s">
        <v>84</v>
      </c>
      <c r="M316" s="8" t="s">
        <v>46</v>
      </c>
      <c r="N316" s="8" t="s">
        <v>71</v>
      </c>
      <c r="O316" s="1" t="str">
        <f>VLOOKUP(C316,[1]Sheet2!A:C,2,FALSE)</f>
        <v>立充充电宝取机柜-物流服务</v>
      </c>
      <c r="P316" s="1" t="str">
        <f>VLOOKUP(C316,[1]Sheet2!G:H,2,FALSE)</f>
        <v>186****6788</v>
      </c>
      <c r="Q316" s="12" t="s">
        <v>48</v>
      </c>
    </row>
    <row r="317" s="1" customFormat="1" spans="1:17">
      <c r="A317" s="8" t="s">
        <v>607</v>
      </c>
      <c r="B317" s="8" t="s">
        <v>599</v>
      </c>
      <c r="C317" s="8" t="s">
        <v>608</v>
      </c>
      <c r="D317" s="8" t="s">
        <v>76</v>
      </c>
      <c r="E317" s="8" t="s">
        <v>45</v>
      </c>
      <c r="F317" s="8" t="s">
        <v>89</v>
      </c>
      <c r="G317" s="8" t="s">
        <v>26</v>
      </c>
      <c r="H317" s="8" t="s">
        <v>27</v>
      </c>
      <c r="I317" s="8" t="s">
        <v>28</v>
      </c>
      <c r="J317" s="8" t="s">
        <v>29</v>
      </c>
      <c r="K317" s="8" t="s">
        <v>30</v>
      </c>
      <c r="L317" s="8" t="s">
        <v>29</v>
      </c>
      <c r="M317" s="8" t="s">
        <v>90</v>
      </c>
      <c r="N317" s="8" t="s">
        <v>31</v>
      </c>
      <c r="O317" s="1" t="str">
        <f>VLOOKUP(C317,[1]Sheet2!A:C,2,FALSE)</f>
        <v>立充充电宝取机柜-仅服务</v>
      </c>
      <c r="P317" s="1" t="str">
        <f>VLOOKUP(C317,[1]Sheet2!G:H,2,FALSE)</f>
        <v>130****4667</v>
      </c>
      <c r="Q317" s="31" t="s">
        <v>77</v>
      </c>
    </row>
    <row r="318" s="1" customFormat="1" spans="1:17">
      <c r="A318" s="8" t="s">
        <v>609</v>
      </c>
      <c r="B318" s="8" t="s">
        <v>599</v>
      </c>
      <c r="C318" s="8" t="s">
        <v>608</v>
      </c>
      <c r="D318" s="8" t="s">
        <v>76</v>
      </c>
      <c r="E318" s="8" t="s">
        <v>45</v>
      </c>
      <c r="F318" s="8" t="s">
        <v>89</v>
      </c>
      <c r="G318" s="8" t="s">
        <v>34</v>
      </c>
      <c r="H318" s="8" t="s">
        <v>27</v>
      </c>
      <c r="I318" s="8" t="s">
        <v>28</v>
      </c>
      <c r="J318" s="8" t="s">
        <v>55</v>
      </c>
      <c r="K318" s="8" t="s">
        <v>30</v>
      </c>
      <c r="L318" s="8" t="s">
        <v>55</v>
      </c>
      <c r="M318" s="8" t="s">
        <v>90</v>
      </c>
      <c r="N318" s="8" t="s">
        <v>36</v>
      </c>
      <c r="O318" s="1" t="str">
        <f>VLOOKUP(C318,[1]Sheet2!A:C,2,FALSE)</f>
        <v>立充充电宝取机柜-仅服务</v>
      </c>
      <c r="P318" s="1" t="str">
        <f>VLOOKUP(C318,[1]Sheet2!G:H,2,FALSE)</f>
        <v>130****4667</v>
      </c>
      <c r="Q318" s="31" t="s">
        <v>77</v>
      </c>
    </row>
    <row r="319" s="1" customFormat="1" spans="1:17">
      <c r="A319" s="8" t="s">
        <v>610</v>
      </c>
      <c r="B319" s="8" t="s">
        <v>599</v>
      </c>
      <c r="C319" s="8" t="s">
        <v>611</v>
      </c>
      <c r="D319" s="8" t="s">
        <v>76</v>
      </c>
      <c r="E319" s="8" t="s">
        <v>45</v>
      </c>
      <c r="F319" s="8" t="s">
        <v>89</v>
      </c>
      <c r="G319" s="8" t="s">
        <v>186</v>
      </c>
      <c r="H319" s="8" t="s">
        <v>27</v>
      </c>
      <c r="I319" s="8" t="s">
        <v>28</v>
      </c>
      <c r="J319" s="8" t="s">
        <v>192</v>
      </c>
      <c r="K319" s="8" t="s">
        <v>30</v>
      </c>
      <c r="L319" s="8" t="s">
        <v>192</v>
      </c>
      <c r="M319" s="8" t="s">
        <v>90</v>
      </c>
      <c r="N319" s="8" t="s">
        <v>31</v>
      </c>
      <c r="O319" s="1" t="str">
        <f>VLOOKUP(C319,[1]Sheet2!A:C,2,FALSE)</f>
        <v>立充充电宝取机柜-仅服务</v>
      </c>
      <c r="P319" s="1" t="str">
        <f>VLOOKUP(C319,[1]Sheet2!G:H,2,FALSE)</f>
        <v>130****4667</v>
      </c>
      <c r="Q319" s="31" t="s">
        <v>77</v>
      </c>
    </row>
    <row r="320" s="1" customFormat="1" spans="1:17">
      <c r="A320" s="8" t="s">
        <v>612</v>
      </c>
      <c r="B320" s="8" t="s">
        <v>599</v>
      </c>
      <c r="C320" s="8" t="s">
        <v>611</v>
      </c>
      <c r="D320" s="8" t="s">
        <v>76</v>
      </c>
      <c r="E320" s="8" t="s">
        <v>45</v>
      </c>
      <c r="F320" s="8" t="s">
        <v>89</v>
      </c>
      <c r="G320" s="8" t="s">
        <v>34</v>
      </c>
      <c r="H320" s="8" t="s">
        <v>27</v>
      </c>
      <c r="I320" s="8" t="s">
        <v>28</v>
      </c>
      <c r="J320" s="8" t="s">
        <v>189</v>
      </c>
      <c r="K320" s="8" t="s">
        <v>30</v>
      </c>
      <c r="L320" s="8" t="s">
        <v>189</v>
      </c>
      <c r="M320" s="8" t="s">
        <v>90</v>
      </c>
      <c r="N320" s="8" t="s">
        <v>36</v>
      </c>
      <c r="O320" s="1" t="str">
        <f>VLOOKUP(C320,[1]Sheet2!A:C,2,FALSE)</f>
        <v>立充充电宝取机柜-仅服务</v>
      </c>
      <c r="P320" s="1" t="str">
        <f>VLOOKUP(C320,[1]Sheet2!G:H,2,FALSE)</f>
        <v>130****4667</v>
      </c>
      <c r="Q320" s="31" t="s">
        <v>77</v>
      </c>
    </row>
    <row r="321" s="1" customFormat="1" spans="1:17">
      <c r="A321" s="8" t="s">
        <v>613</v>
      </c>
      <c r="B321" s="8" t="s">
        <v>599</v>
      </c>
      <c r="C321" s="8" t="s">
        <v>614</v>
      </c>
      <c r="D321" s="8" t="s">
        <v>76</v>
      </c>
      <c r="E321" s="8" t="s">
        <v>45</v>
      </c>
      <c r="F321" s="8" t="s">
        <v>89</v>
      </c>
      <c r="G321" s="8" t="s">
        <v>26</v>
      </c>
      <c r="H321" s="8" t="s">
        <v>27</v>
      </c>
      <c r="I321" s="8" t="s">
        <v>28</v>
      </c>
      <c r="J321" s="8" t="s">
        <v>29</v>
      </c>
      <c r="K321" s="8" t="s">
        <v>30</v>
      </c>
      <c r="L321" s="8" t="s">
        <v>29</v>
      </c>
      <c r="M321" s="8" t="s">
        <v>90</v>
      </c>
      <c r="N321" s="8" t="s">
        <v>31</v>
      </c>
      <c r="O321" s="1" t="str">
        <f>VLOOKUP(C321,[1]Sheet2!A:C,2,FALSE)</f>
        <v>立充充电宝取机柜-仅服务</v>
      </c>
      <c r="P321" s="1" t="str">
        <f>VLOOKUP(C321,[1]Sheet2!G:H,2,FALSE)</f>
        <v>130****4667</v>
      </c>
      <c r="Q321" s="31" t="s">
        <v>77</v>
      </c>
    </row>
    <row r="322" s="1" customFormat="1" spans="1:17">
      <c r="A322" s="8" t="s">
        <v>615</v>
      </c>
      <c r="B322" s="8" t="s">
        <v>599</v>
      </c>
      <c r="C322" s="8" t="s">
        <v>614</v>
      </c>
      <c r="D322" s="8" t="s">
        <v>76</v>
      </c>
      <c r="E322" s="8" t="s">
        <v>45</v>
      </c>
      <c r="F322" s="8" t="s">
        <v>89</v>
      </c>
      <c r="G322" s="8" t="s">
        <v>34</v>
      </c>
      <c r="H322" s="8" t="s">
        <v>27</v>
      </c>
      <c r="I322" s="8" t="s">
        <v>28</v>
      </c>
      <c r="J322" s="8" t="s">
        <v>55</v>
      </c>
      <c r="K322" s="8" t="s">
        <v>30</v>
      </c>
      <c r="L322" s="8" t="s">
        <v>55</v>
      </c>
      <c r="M322" s="8" t="s">
        <v>90</v>
      </c>
      <c r="N322" s="8" t="s">
        <v>36</v>
      </c>
      <c r="O322" s="1" t="str">
        <f>VLOOKUP(C322,[1]Sheet2!A:C,2,FALSE)</f>
        <v>立充充电宝取机柜-仅服务</v>
      </c>
      <c r="P322" s="1" t="str">
        <f>VLOOKUP(C322,[1]Sheet2!G:H,2,FALSE)</f>
        <v>130****4667</v>
      </c>
      <c r="Q322" s="31" t="s">
        <v>77</v>
      </c>
    </row>
    <row r="323" s="1" customFormat="1" spans="1:17">
      <c r="A323" s="8" t="s">
        <v>616</v>
      </c>
      <c r="B323" s="8" t="s">
        <v>599</v>
      </c>
      <c r="C323" s="8" t="s">
        <v>578</v>
      </c>
      <c r="D323" s="8" t="s">
        <v>45</v>
      </c>
      <c r="E323" s="8" t="s">
        <v>45</v>
      </c>
      <c r="F323" s="8" t="s">
        <v>46</v>
      </c>
      <c r="G323" s="8" t="s">
        <v>34</v>
      </c>
      <c r="H323" s="8" t="s">
        <v>27</v>
      </c>
      <c r="I323" s="8" t="s">
        <v>69</v>
      </c>
      <c r="J323" s="8" t="s">
        <v>84</v>
      </c>
      <c r="K323" s="8" t="s">
        <v>30</v>
      </c>
      <c r="L323" s="8" t="s">
        <v>84</v>
      </c>
      <c r="M323" s="8" t="s">
        <v>46</v>
      </c>
      <c r="N323" s="8" t="s">
        <v>71</v>
      </c>
      <c r="O323" s="1" t="str">
        <f>VLOOKUP(C323,[1]Sheet2!A:C,2,FALSE)</f>
        <v>立充充电宝取机柜-物流服务</v>
      </c>
      <c r="P323" s="1" t="str">
        <f>VLOOKUP(C323,[1]Sheet2!G:H,2,FALSE)</f>
        <v>186****6788</v>
      </c>
      <c r="Q323" s="12" t="s">
        <v>48</v>
      </c>
    </row>
    <row r="324" s="1" customFormat="1" spans="1:17">
      <c r="A324" s="8" t="s">
        <v>617</v>
      </c>
      <c r="B324" s="8" t="s">
        <v>599</v>
      </c>
      <c r="C324" s="8" t="s">
        <v>582</v>
      </c>
      <c r="D324" s="8" t="s">
        <v>45</v>
      </c>
      <c r="E324" s="8" t="s">
        <v>45</v>
      </c>
      <c r="F324" s="8" t="s">
        <v>46</v>
      </c>
      <c r="G324" s="8" t="s">
        <v>34</v>
      </c>
      <c r="H324" s="8" t="s">
        <v>27</v>
      </c>
      <c r="I324" s="8" t="s">
        <v>69</v>
      </c>
      <c r="J324" s="8" t="s">
        <v>70</v>
      </c>
      <c r="K324" s="8" t="s">
        <v>30</v>
      </c>
      <c r="L324" s="8" t="s">
        <v>70</v>
      </c>
      <c r="M324" s="8" t="s">
        <v>46</v>
      </c>
      <c r="N324" s="8" t="s">
        <v>71</v>
      </c>
      <c r="O324" s="1" t="str">
        <f>VLOOKUP(C324,[1]Sheet2!A:C,2,FALSE)</f>
        <v>取宝-物流服务</v>
      </c>
      <c r="P324" s="1" t="str">
        <f>VLOOKUP(C324,[1]Sheet2!G:H,2,FALSE)</f>
        <v>186****6788</v>
      </c>
      <c r="Q324" s="12" t="s">
        <v>48</v>
      </c>
    </row>
    <row r="325" s="1" customFormat="1" spans="1:17">
      <c r="A325" s="8" t="s">
        <v>618</v>
      </c>
      <c r="B325" s="8" t="s">
        <v>599</v>
      </c>
      <c r="C325" s="8" t="s">
        <v>585</v>
      </c>
      <c r="D325" s="8" t="s">
        <v>45</v>
      </c>
      <c r="E325" s="8" t="s">
        <v>45</v>
      </c>
      <c r="F325" s="8" t="s">
        <v>46</v>
      </c>
      <c r="G325" s="8" t="s">
        <v>34</v>
      </c>
      <c r="H325" s="8" t="s">
        <v>27</v>
      </c>
      <c r="I325" s="8" t="s">
        <v>69</v>
      </c>
      <c r="J325" s="8" t="s">
        <v>70</v>
      </c>
      <c r="K325" s="8" t="s">
        <v>30</v>
      </c>
      <c r="L325" s="8" t="s">
        <v>70</v>
      </c>
      <c r="M325" s="8" t="s">
        <v>46</v>
      </c>
      <c r="N325" s="8" t="s">
        <v>71</v>
      </c>
      <c r="O325" s="1" t="str">
        <f>VLOOKUP(C325,[1]Sheet2!A:C,2,FALSE)</f>
        <v>取宝-物流服务</v>
      </c>
      <c r="P325" s="1" t="str">
        <f>VLOOKUP(C325,[1]Sheet2!G:H,2,FALSE)</f>
        <v>186****6788</v>
      </c>
      <c r="Q325" s="12" t="s">
        <v>48</v>
      </c>
    </row>
    <row r="326" s="1" customFormat="1" spans="1:17">
      <c r="A326" s="8" t="s">
        <v>619</v>
      </c>
      <c r="B326" s="8" t="s">
        <v>620</v>
      </c>
      <c r="C326" s="8" t="s">
        <v>487</v>
      </c>
      <c r="D326" s="8" t="s">
        <v>24</v>
      </c>
      <c r="E326" s="8" t="s">
        <v>24</v>
      </c>
      <c r="F326" s="8" t="s">
        <v>488</v>
      </c>
      <c r="G326" s="8" t="s">
        <v>34</v>
      </c>
      <c r="H326" s="8" t="s">
        <v>27</v>
      </c>
      <c r="I326" s="8" t="s">
        <v>69</v>
      </c>
      <c r="J326" s="8" t="s">
        <v>70</v>
      </c>
      <c r="K326" s="8" t="s">
        <v>30</v>
      </c>
      <c r="L326" s="8" t="s">
        <v>70</v>
      </c>
      <c r="M326" s="8" t="s">
        <v>177</v>
      </c>
      <c r="N326" s="8" t="s">
        <v>219</v>
      </c>
      <c r="O326" s="1" t="str">
        <f>VLOOKUP(C326,[1]Sheet2!A:C,2,FALSE)</f>
        <v>补宝-物流服务</v>
      </c>
      <c r="P326" s="1" t="str">
        <f>VLOOKUP(C326,[1]Sheet2!G:H,2,FALSE)</f>
        <v>134****6101</v>
      </c>
      <c r="Q326" s="31" t="s">
        <v>32</v>
      </c>
    </row>
    <row r="327" s="1" customFormat="1" spans="1:17">
      <c r="A327" s="8" t="s">
        <v>621</v>
      </c>
      <c r="B327" s="8" t="s">
        <v>620</v>
      </c>
      <c r="C327" s="8" t="s">
        <v>490</v>
      </c>
      <c r="D327" s="8" t="s">
        <v>24</v>
      </c>
      <c r="E327" s="8" t="s">
        <v>24</v>
      </c>
      <c r="F327" s="8" t="s">
        <v>488</v>
      </c>
      <c r="G327" s="8" t="s">
        <v>34</v>
      </c>
      <c r="H327" s="8" t="s">
        <v>27</v>
      </c>
      <c r="I327" s="8" t="s">
        <v>69</v>
      </c>
      <c r="J327" s="8" t="s">
        <v>70</v>
      </c>
      <c r="K327" s="8" t="s">
        <v>30</v>
      </c>
      <c r="L327" s="8" t="s">
        <v>70</v>
      </c>
      <c r="M327" s="8" t="s">
        <v>177</v>
      </c>
      <c r="N327" s="8" t="s">
        <v>219</v>
      </c>
      <c r="O327" s="1" t="str">
        <f>VLOOKUP(C327,[1]Sheet2!A:C,2,FALSE)</f>
        <v>补宝-物流服务</v>
      </c>
      <c r="P327" s="1" t="str">
        <f>VLOOKUP(C327,[1]Sheet2!G:H,2,FALSE)</f>
        <v>134****6101</v>
      </c>
      <c r="Q327" s="31" t="s">
        <v>32</v>
      </c>
    </row>
    <row r="328" s="1" customFormat="1" spans="1:17">
      <c r="A328" s="8" t="s">
        <v>622</v>
      </c>
      <c r="B328" s="8" t="s">
        <v>620</v>
      </c>
      <c r="C328" s="8" t="s">
        <v>600</v>
      </c>
      <c r="D328" s="8" t="s">
        <v>601</v>
      </c>
      <c r="E328" s="8" t="s">
        <v>205</v>
      </c>
      <c r="F328" s="8" t="s">
        <v>209</v>
      </c>
      <c r="G328" s="8" t="s">
        <v>34</v>
      </c>
      <c r="H328" s="8" t="s">
        <v>27</v>
      </c>
      <c r="I328" s="8" t="s">
        <v>69</v>
      </c>
      <c r="J328" s="8" t="s">
        <v>84</v>
      </c>
      <c r="K328" s="8" t="s">
        <v>30</v>
      </c>
      <c r="L328" s="8" t="s">
        <v>84</v>
      </c>
      <c r="M328" s="8" t="s">
        <v>604</v>
      </c>
      <c r="N328" s="8" t="s">
        <v>71</v>
      </c>
      <c r="O328" s="1" t="str">
        <f>VLOOKUP(C328,[1]Sheet2!A:C,2,FALSE)</f>
        <v>立充充电宝取机柜-物流服务</v>
      </c>
      <c r="P328" s="1" t="str">
        <f>VLOOKUP(C328,[1]Sheet2!G:H,2,FALSE)</f>
        <v>131****2614</v>
      </c>
      <c r="Q328" s="31" t="s">
        <v>210</v>
      </c>
    </row>
    <row r="329" s="1" customFormat="1" spans="1:17">
      <c r="A329" s="8" t="s">
        <v>623</v>
      </c>
      <c r="B329" s="8" t="s">
        <v>620</v>
      </c>
      <c r="C329" s="8" t="s">
        <v>624</v>
      </c>
      <c r="D329" s="8" t="s">
        <v>24</v>
      </c>
      <c r="E329" s="8" t="s">
        <v>23</v>
      </c>
      <c r="F329" s="8" t="s">
        <v>625</v>
      </c>
      <c r="G329" s="8" t="s">
        <v>26</v>
      </c>
      <c r="H329" s="8" t="s">
        <v>27</v>
      </c>
      <c r="I329" s="8" t="s">
        <v>69</v>
      </c>
      <c r="J329" s="8" t="s">
        <v>29</v>
      </c>
      <c r="K329" s="8" t="s">
        <v>30</v>
      </c>
      <c r="L329" s="8" t="s">
        <v>29</v>
      </c>
      <c r="M329" s="8" t="s">
        <v>177</v>
      </c>
      <c r="N329" s="8" t="s">
        <v>31</v>
      </c>
      <c r="O329" s="1" t="str">
        <f>VLOOKUP(C329,[1]Sheet2!A:C,2,FALSE)</f>
        <v>补宝-物流服务</v>
      </c>
      <c r="P329" s="1" t="str">
        <f>VLOOKUP(C329,[1]Sheet2!G:H,2,FALSE)</f>
        <v>134****6101</v>
      </c>
      <c r="Q329" s="31" t="s">
        <v>32</v>
      </c>
    </row>
    <row r="330" s="1" customFormat="1" spans="1:17">
      <c r="A330" s="8" t="s">
        <v>626</v>
      </c>
      <c r="B330" s="8" t="s">
        <v>620</v>
      </c>
      <c r="C330" s="8" t="s">
        <v>627</v>
      </c>
      <c r="D330" s="8" t="s">
        <v>204</v>
      </c>
      <c r="E330" s="8" t="s">
        <v>205</v>
      </c>
      <c r="F330" s="8" t="s">
        <v>209</v>
      </c>
      <c r="G330" s="8" t="s">
        <v>628</v>
      </c>
      <c r="H330" s="8" t="s">
        <v>27</v>
      </c>
      <c r="I330" s="8" t="s">
        <v>28</v>
      </c>
      <c r="J330" s="8" t="s">
        <v>208</v>
      </c>
      <c r="K330" s="8" t="s">
        <v>30</v>
      </c>
      <c r="L330" s="8" t="s">
        <v>208</v>
      </c>
      <c r="M330" s="8" t="s">
        <v>629</v>
      </c>
      <c r="N330" s="8" t="s">
        <v>31</v>
      </c>
      <c r="O330" s="1" t="str">
        <f>VLOOKUP(C330,[1]Sheet2!A:C,2,FALSE)</f>
        <v>立充充电宝取机柜-物流服务</v>
      </c>
      <c r="P330" s="1" t="str">
        <f>VLOOKUP(C330,[1]Sheet2!G:H,2,FALSE)</f>
        <v>131****2614</v>
      </c>
      <c r="Q330" s="31" t="s">
        <v>210</v>
      </c>
    </row>
    <row r="331" s="1" customFormat="1" spans="1:17">
      <c r="A331" s="8" t="s">
        <v>630</v>
      </c>
      <c r="B331" s="8" t="s">
        <v>620</v>
      </c>
      <c r="C331" s="8" t="s">
        <v>627</v>
      </c>
      <c r="D331" s="8" t="s">
        <v>204</v>
      </c>
      <c r="E331" s="8" t="s">
        <v>205</v>
      </c>
      <c r="F331" s="8" t="s">
        <v>209</v>
      </c>
      <c r="G331" s="8" t="s">
        <v>34</v>
      </c>
      <c r="H331" s="8" t="s">
        <v>27</v>
      </c>
      <c r="I331" s="8" t="s">
        <v>28</v>
      </c>
      <c r="J331" s="8" t="s">
        <v>42</v>
      </c>
      <c r="K331" s="8" t="s">
        <v>30</v>
      </c>
      <c r="L331" s="8" t="s">
        <v>42</v>
      </c>
      <c r="M331" s="8" t="s">
        <v>629</v>
      </c>
      <c r="N331" s="8" t="s">
        <v>36</v>
      </c>
      <c r="O331" s="1" t="str">
        <f>VLOOKUP(C331,[1]Sheet2!A:C,2,FALSE)</f>
        <v>立充充电宝取机柜-物流服务</v>
      </c>
      <c r="P331" s="1" t="str">
        <f>VLOOKUP(C331,[1]Sheet2!G:H,2,FALSE)</f>
        <v>131****2614</v>
      </c>
      <c r="Q331" s="31" t="s">
        <v>210</v>
      </c>
    </row>
    <row r="332" s="1" customFormat="1" spans="1:17">
      <c r="A332" s="8" t="s">
        <v>631</v>
      </c>
      <c r="B332" s="8" t="s">
        <v>620</v>
      </c>
      <c r="C332" s="8" t="s">
        <v>632</v>
      </c>
      <c r="D332" s="8" t="s">
        <v>137</v>
      </c>
      <c r="E332" s="8" t="s">
        <v>45</v>
      </c>
      <c r="F332" s="8" t="s">
        <v>46</v>
      </c>
      <c r="G332" s="8" t="s">
        <v>26</v>
      </c>
      <c r="H332" s="8" t="s">
        <v>27</v>
      </c>
      <c r="I332" s="8" t="s">
        <v>28</v>
      </c>
      <c r="J332" s="8" t="s">
        <v>113</v>
      </c>
      <c r="K332" s="8" t="s">
        <v>30</v>
      </c>
      <c r="L332" s="8" t="s">
        <v>113</v>
      </c>
      <c r="M332" s="8" t="s">
        <v>46</v>
      </c>
      <c r="N332" s="8" t="s">
        <v>31</v>
      </c>
      <c r="O332" s="1" t="str">
        <f>VLOOKUP(C332,[1]Sheet2!A:C,2,FALSE)</f>
        <v>取宝-物流服务</v>
      </c>
      <c r="P332" s="1" t="str">
        <f>VLOOKUP(C332,[1]Sheet2!G:H,2,FALSE)</f>
        <v>186****6788</v>
      </c>
      <c r="Q332" s="12" t="s">
        <v>48</v>
      </c>
    </row>
    <row r="333" s="1" customFormat="1" spans="1:17">
      <c r="A333" s="8" t="s">
        <v>633</v>
      </c>
      <c r="B333" s="8" t="s">
        <v>620</v>
      </c>
      <c r="C333" s="8" t="s">
        <v>632</v>
      </c>
      <c r="D333" s="8" t="s">
        <v>137</v>
      </c>
      <c r="E333" s="8" t="s">
        <v>45</v>
      </c>
      <c r="F333" s="8" t="s">
        <v>46</v>
      </c>
      <c r="G333" s="8" t="s">
        <v>34</v>
      </c>
      <c r="H333" s="8" t="s">
        <v>27</v>
      </c>
      <c r="I333" s="8" t="s">
        <v>28</v>
      </c>
      <c r="J333" s="8" t="s">
        <v>55</v>
      </c>
      <c r="K333" s="8" t="s">
        <v>30</v>
      </c>
      <c r="L333" s="8" t="s">
        <v>55</v>
      </c>
      <c r="M333" s="8" t="s">
        <v>46</v>
      </c>
      <c r="N333" s="8" t="s">
        <v>36</v>
      </c>
      <c r="O333" s="1" t="str">
        <f>VLOOKUP(C333,[1]Sheet2!A:C,2,FALSE)</f>
        <v>取宝-物流服务</v>
      </c>
      <c r="P333" s="1" t="str">
        <f>VLOOKUP(C333,[1]Sheet2!G:H,2,FALSE)</f>
        <v>186****6788</v>
      </c>
      <c r="Q333" s="12" t="s">
        <v>48</v>
      </c>
    </row>
    <row r="334" s="1" customFormat="1" spans="1:17">
      <c r="A334" s="8" t="s">
        <v>634</v>
      </c>
      <c r="B334" s="8" t="s">
        <v>620</v>
      </c>
      <c r="C334" s="8" t="s">
        <v>635</v>
      </c>
      <c r="D334" s="8" t="s">
        <v>137</v>
      </c>
      <c r="E334" s="8" t="s">
        <v>45</v>
      </c>
      <c r="F334" s="8" t="s">
        <v>46</v>
      </c>
      <c r="G334" s="8" t="s">
        <v>186</v>
      </c>
      <c r="H334" s="8" t="s">
        <v>27</v>
      </c>
      <c r="I334" s="8" t="s">
        <v>28</v>
      </c>
      <c r="J334" s="8" t="s">
        <v>95</v>
      </c>
      <c r="K334" s="8" t="s">
        <v>30</v>
      </c>
      <c r="L334" s="8" t="s">
        <v>95</v>
      </c>
      <c r="M334" s="8" t="s">
        <v>46</v>
      </c>
      <c r="N334" s="8" t="s">
        <v>31</v>
      </c>
      <c r="O334" s="1" t="str">
        <f>VLOOKUP(C334,[1]Sheet2!A:C,2,FALSE)</f>
        <v>立充充电宝取机柜-物流服务</v>
      </c>
      <c r="P334" s="1" t="str">
        <f>VLOOKUP(C334,[1]Sheet2!G:H,2,FALSE)</f>
        <v>186****6788</v>
      </c>
      <c r="Q334" s="12" t="s">
        <v>48</v>
      </c>
    </row>
    <row r="335" s="1" customFormat="1" spans="1:17">
      <c r="A335" s="8" t="s">
        <v>636</v>
      </c>
      <c r="B335" s="8" t="s">
        <v>620</v>
      </c>
      <c r="C335" s="8" t="s">
        <v>635</v>
      </c>
      <c r="D335" s="8" t="s">
        <v>137</v>
      </c>
      <c r="E335" s="8" t="s">
        <v>45</v>
      </c>
      <c r="F335" s="8" t="s">
        <v>46</v>
      </c>
      <c r="G335" s="8" t="s">
        <v>34</v>
      </c>
      <c r="H335" s="8" t="s">
        <v>27</v>
      </c>
      <c r="I335" s="8" t="s">
        <v>28</v>
      </c>
      <c r="J335" s="8" t="s">
        <v>189</v>
      </c>
      <c r="K335" s="8" t="s">
        <v>30</v>
      </c>
      <c r="L335" s="8" t="s">
        <v>189</v>
      </c>
      <c r="M335" s="8" t="s">
        <v>46</v>
      </c>
      <c r="N335" s="8" t="s">
        <v>36</v>
      </c>
      <c r="O335" s="1" t="str">
        <f>VLOOKUP(C335,[1]Sheet2!A:C,2,FALSE)</f>
        <v>立充充电宝取机柜-物流服务</v>
      </c>
      <c r="P335" s="1" t="str">
        <f>VLOOKUP(C335,[1]Sheet2!G:H,2,FALSE)</f>
        <v>186****6788</v>
      </c>
      <c r="Q335" s="12" t="s">
        <v>48</v>
      </c>
    </row>
    <row r="336" s="1" customFormat="1" spans="1:17">
      <c r="A336" s="8" t="s">
        <v>637</v>
      </c>
      <c r="B336" s="8" t="s">
        <v>620</v>
      </c>
      <c r="C336" s="8" t="s">
        <v>638</v>
      </c>
      <c r="D336" s="8" t="s">
        <v>24</v>
      </c>
      <c r="E336" s="8" t="s">
        <v>23</v>
      </c>
      <c r="F336" s="8" t="s">
        <v>625</v>
      </c>
      <c r="G336" s="8" t="s">
        <v>26</v>
      </c>
      <c r="H336" s="8" t="s">
        <v>27</v>
      </c>
      <c r="I336" s="8" t="s">
        <v>69</v>
      </c>
      <c r="J336" s="8" t="s">
        <v>29</v>
      </c>
      <c r="K336" s="8" t="s">
        <v>30</v>
      </c>
      <c r="L336" s="8" t="s">
        <v>29</v>
      </c>
      <c r="M336" s="8" t="s">
        <v>177</v>
      </c>
      <c r="N336" s="8" t="s">
        <v>31</v>
      </c>
      <c r="O336" s="1" t="str">
        <f>VLOOKUP(C336,[1]Sheet2!A:C,2,FALSE)</f>
        <v>补宝-物流服务</v>
      </c>
      <c r="P336" s="1" t="str">
        <f>VLOOKUP(C336,[1]Sheet2!G:H,2,FALSE)</f>
        <v>134****6101</v>
      </c>
      <c r="Q336" s="31" t="s">
        <v>32</v>
      </c>
    </row>
    <row r="337" s="1" customFormat="1" spans="1:17">
      <c r="A337" s="8" t="s">
        <v>639</v>
      </c>
      <c r="B337" s="8" t="s">
        <v>620</v>
      </c>
      <c r="C337" s="8" t="s">
        <v>640</v>
      </c>
      <c r="D337" s="8" t="s">
        <v>24</v>
      </c>
      <c r="E337" s="8" t="s">
        <v>23</v>
      </c>
      <c r="F337" s="8" t="s">
        <v>625</v>
      </c>
      <c r="G337" s="8" t="s">
        <v>64</v>
      </c>
      <c r="H337" s="8" t="s">
        <v>27</v>
      </c>
      <c r="I337" s="8" t="s">
        <v>69</v>
      </c>
      <c r="J337" s="8" t="s">
        <v>95</v>
      </c>
      <c r="K337" s="8" t="s">
        <v>30</v>
      </c>
      <c r="L337" s="8" t="s">
        <v>95</v>
      </c>
      <c r="M337" s="8" t="s">
        <v>177</v>
      </c>
      <c r="N337" s="8" t="s">
        <v>31</v>
      </c>
      <c r="O337" s="1" t="str">
        <f>VLOOKUP(C337,[1]Sheet2!A:C,2,FALSE)</f>
        <v>补宝-物流服务</v>
      </c>
      <c r="P337" s="1" t="str">
        <f>VLOOKUP(C337,[1]Sheet2!G:H,2,FALSE)</f>
        <v>134****6101</v>
      </c>
      <c r="Q337" s="31" t="s">
        <v>32</v>
      </c>
    </row>
    <row r="338" s="1" customFormat="1" spans="1:17">
      <c r="A338" s="8" t="s">
        <v>641</v>
      </c>
      <c r="B338" s="8" t="s">
        <v>620</v>
      </c>
      <c r="C338" s="8" t="s">
        <v>642</v>
      </c>
      <c r="D338" s="8" t="s">
        <v>45</v>
      </c>
      <c r="E338" s="8" t="s">
        <v>45</v>
      </c>
      <c r="F338" s="8" t="s">
        <v>46</v>
      </c>
      <c r="G338" s="8" t="s">
        <v>26</v>
      </c>
      <c r="H338" s="8" t="s">
        <v>27</v>
      </c>
      <c r="I338" s="8" t="s">
        <v>28</v>
      </c>
      <c r="J338" s="8" t="s">
        <v>47</v>
      </c>
      <c r="K338" s="8" t="s">
        <v>30</v>
      </c>
      <c r="L338" s="8" t="s">
        <v>47</v>
      </c>
      <c r="M338" s="8" t="s">
        <v>46</v>
      </c>
      <c r="N338" s="8" t="s">
        <v>31</v>
      </c>
      <c r="O338" s="1" t="str">
        <f>VLOOKUP(C338,[1]Sheet2!A:C,2,FALSE)</f>
        <v>取宝-物流服务</v>
      </c>
      <c r="P338" s="1" t="str">
        <f>VLOOKUP(C338,[1]Sheet2!G:H,2,FALSE)</f>
        <v>186****6788</v>
      </c>
      <c r="Q338" s="12" t="s">
        <v>48</v>
      </c>
    </row>
    <row r="339" s="1" customFormat="1" spans="1:17">
      <c r="A339" s="8" t="s">
        <v>643</v>
      </c>
      <c r="B339" s="8" t="s">
        <v>620</v>
      </c>
      <c r="C339" s="8" t="s">
        <v>642</v>
      </c>
      <c r="D339" s="8" t="s">
        <v>45</v>
      </c>
      <c r="E339" s="8" t="s">
        <v>45</v>
      </c>
      <c r="F339" s="8" t="s">
        <v>46</v>
      </c>
      <c r="G339" s="8" t="s">
        <v>34</v>
      </c>
      <c r="H339" s="8" t="s">
        <v>27</v>
      </c>
      <c r="I339" s="8" t="s">
        <v>28</v>
      </c>
      <c r="J339" s="8" t="s">
        <v>55</v>
      </c>
      <c r="K339" s="8" t="s">
        <v>30</v>
      </c>
      <c r="L339" s="8" t="s">
        <v>55</v>
      </c>
      <c r="M339" s="8" t="s">
        <v>46</v>
      </c>
      <c r="N339" s="8" t="s">
        <v>36</v>
      </c>
      <c r="O339" s="1" t="str">
        <f>VLOOKUP(C339,[1]Sheet2!A:C,2,FALSE)</f>
        <v>取宝-物流服务</v>
      </c>
      <c r="P339" s="1" t="str">
        <f>VLOOKUP(C339,[1]Sheet2!G:H,2,FALSE)</f>
        <v>186****6788</v>
      </c>
      <c r="Q339" s="12" t="s">
        <v>48</v>
      </c>
    </row>
    <row r="340" s="1" customFormat="1" spans="1:17">
      <c r="A340" s="8" t="s">
        <v>644</v>
      </c>
      <c r="B340" s="8" t="s">
        <v>620</v>
      </c>
      <c r="C340" s="8" t="s">
        <v>645</v>
      </c>
      <c r="D340" s="8" t="s">
        <v>45</v>
      </c>
      <c r="E340" s="8" t="s">
        <v>45</v>
      </c>
      <c r="F340" s="8" t="s">
        <v>46</v>
      </c>
      <c r="G340" s="8" t="s">
        <v>26</v>
      </c>
      <c r="H340" s="8" t="s">
        <v>27</v>
      </c>
      <c r="I340" s="8" t="s">
        <v>28</v>
      </c>
      <c r="J340" s="8" t="s">
        <v>47</v>
      </c>
      <c r="K340" s="8" t="s">
        <v>30</v>
      </c>
      <c r="L340" s="8" t="s">
        <v>47</v>
      </c>
      <c r="M340" s="8" t="s">
        <v>46</v>
      </c>
      <c r="N340" s="8" t="s">
        <v>31</v>
      </c>
      <c r="O340" s="1" t="str">
        <f>VLOOKUP(C340,[1]Sheet2!A:C,2,FALSE)</f>
        <v>取宝-物流服务</v>
      </c>
      <c r="P340" s="1" t="str">
        <f>VLOOKUP(C340,[1]Sheet2!G:H,2,FALSE)</f>
        <v>186****6788</v>
      </c>
      <c r="Q340" s="12" t="s">
        <v>48</v>
      </c>
    </row>
    <row r="341" s="1" customFormat="1" spans="1:17">
      <c r="A341" s="8" t="s">
        <v>646</v>
      </c>
      <c r="B341" s="8" t="s">
        <v>620</v>
      </c>
      <c r="C341" s="8" t="s">
        <v>645</v>
      </c>
      <c r="D341" s="8" t="s">
        <v>45</v>
      </c>
      <c r="E341" s="8" t="s">
        <v>45</v>
      </c>
      <c r="F341" s="8" t="s">
        <v>46</v>
      </c>
      <c r="G341" s="8" t="s">
        <v>34</v>
      </c>
      <c r="H341" s="8" t="s">
        <v>27</v>
      </c>
      <c r="I341" s="8" t="s">
        <v>28</v>
      </c>
      <c r="J341" s="8" t="s">
        <v>55</v>
      </c>
      <c r="K341" s="8" t="s">
        <v>30</v>
      </c>
      <c r="L341" s="8" t="s">
        <v>55</v>
      </c>
      <c r="M341" s="8" t="s">
        <v>46</v>
      </c>
      <c r="N341" s="8" t="s">
        <v>36</v>
      </c>
      <c r="O341" s="1" t="str">
        <f>VLOOKUP(C341,[1]Sheet2!A:C,2,FALSE)</f>
        <v>取宝-物流服务</v>
      </c>
      <c r="P341" s="1" t="str">
        <f>VLOOKUP(C341,[1]Sheet2!G:H,2,FALSE)</f>
        <v>186****6788</v>
      </c>
      <c r="Q341" s="12" t="s">
        <v>48</v>
      </c>
    </row>
    <row r="342" s="1" customFormat="1" spans="1:17">
      <c r="A342" s="8" t="s">
        <v>647</v>
      </c>
      <c r="B342" s="8" t="s">
        <v>620</v>
      </c>
      <c r="C342" s="8" t="s">
        <v>648</v>
      </c>
      <c r="D342" s="8" t="s">
        <v>45</v>
      </c>
      <c r="E342" s="8" t="s">
        <v>45</v>
      </c>
      <c r="F342" s="8" t="s">
        <v>46</v>
      </c>
      <c r="G342" s="8" t="s">
        <v>649</v>
      </c>
      <c r="H342" s="8" t="s">
        <v>27</v>
      </c>
      <c r="I342" s="8" t="s">
        <v>28</v>
      </c>
      <c r="J342" s="8" t="s">
        <v>113</v>
      </c>
      <c r="K342" s="8" t="s">
        <v>30</v>
      </c>
      <c r="L342" s="8" t="s">
        <v>113</v>
      </c>
      <c r="M342" s="8" t="s">
        <v>46</v>
      </c>
      <c r="N342" s="8" t="s">
        <v>31</v>
      </c>
      <c r="O342" s="1" t="str">
        <f>VLOOKUP(C342,[1]Sheet2!A:C,2,FALSE)</f>
        <v>立充充电宝取机柜-物流服务</v>
      </c>
      <c r="P342" s="1" t="str">
        <f>VLOOKUP(C342,[1]Sheet2!G:H,2,FALSE)</f>
        <v>186****6788</v>
      </c>
      <c r="Q342" s="12" t="s">
        <v>48</v>
      </c>
    </row>
    <row r="343" s="1" customFormat="1" spans="1:17">
      <c r="A343" s="8" t="s">
        <v>650</v>
      </c>
      <c r="B343" s="8" t="s">
        <v>620</v>
      </c>
      <c r="C343" s="8" t="s">
        <v>648</v>
      </c>
      <c r="D343" s="8" t="s">
        <v>45</v>
      </c>
      <c r="E343" s="8" t="s">
        <v>45</v>
      </c>
      <c r="F343" s="8" t="s">
        <v>46</v>
      </c>
      <c r="G343" s="8" t="s">
        <v>34</v>
      </c>
      <c r="H343" s="8" t="s">
        <v>27</v>
      </c>
      <c r="I343" s="8" t="s">
        <v>28</v>
      </c>
      <c r="J343" s="8" t="s">
        <v>84</v>
      </c>
      <c r="K343" s="8" t="s">
        <v>30</v>
      </c>
      <c r="L343" s="8" t="s">
        <v>84</v>
      </c>
      <c r="M343" s="8" t="s">
        <v>46</v>
      </c>
      <c r="N343" s="8" t="s">
        <v>36</v>
      </c>
      <c r="O343" s="1" t="str">
        <f>VLOOKUP(C343,[1]Sheet2!A:C,2,FALSE)</f>
        <v>立充充电宝取机柜-物流服务</v>
      </c>
      <c r="P343" s="1" t="str">
        <f>VLOOKUP(C343,[1]Sheet2!G:H,2,FALSE)</f>
        <v>186****6788</v>
      </c>
      <c r="Q343" s="12" t="s">
        <v>48</v>
      </c>
    </row>
    <row r="344" s="1" customFormat="1" spans="1:17">
      <c r="A344" s="8" t="s">
        <v>651</v>
      </c>
      <c r="B344" s="8" t="s">
        <v>652</v>
      </c>
      <c r="C344" s="8" t="s">
        <v>653</v>
      </c>
      <c r="D344" s="8" t="s">
        <v>76</v>
      </c>
      <c r="E344" s="8" t="s">
        <v>76</v>
      </c>
      <c r="F344" s="8" t="s">
        <v>654</v>
      </c>
      <c r="G344" s="8" t="s">
        <v>26</v>
      </c>
      <c r="H344" s="8" t="s">
        <v>27</v>
      </c>
      <c r="I344" s="8" t="s">
        <v>28</v>
      </c>
      <c r="J344" s="8" t="s">
        <v>113</v>
      </c>
      <c r="K344" s="8" t="s">
        <v>30</v>
      </c>
      <c r="L344" s="8" t="s">
        <v>113</v>
      </c>
      <c r="M344" s="8" t="s">
        <v>655</v>
      </c>
      <c r="N344" s="8" t="s">
        <v>31</v>
      </c>
      <c r="O344" s="1" t="str">
        <f>VLOOKUP(C344,[1]Sheet2!A:C,2,FALSE)</f>
        <v>取宝-物流服务</v>
      </c>
      <c r="P344" s="1" t="str">
        <f>VLOOKUP(C344,[1]Sheet2!G:H,2,FALSE)</f>
        <v>137****3997</v>
      </c>
      <c r="Q344" s="12" t="s">
        <v>498</v>
      </c>
    </row>
    <row r="345" s="1" customFormat="1" spans="1:17">
      <c r="A345" s="8" t="s">
        <v>656</v>
      </c>
      <c r="B345" s="8" t="s">
        <v>652</v>
      </c>
      <c r="C345" s="8" t="s">
        <v>627</v>
      </c>
      <c r="D345" s="8" t="s">
        <v>204</v>
      </c>
      <c r="E345" s="8" t="s">
        <v>205</v>
      </c>
      <c r="F345" s="8" t="s">
        <v>209</v>
      </c>
      <c r="G345" s="8" t="s">
        <v>34</v>
      </c>
      <c r="H345" s="8" t="s">
        <v>27</v>
      </c>
      <c r="I345" s="8" t="s">
        <v>69</v>
      </c>
      <c r="J345" s="8" t="s">
        <v>84</v>
      </c>
      <c r="K345" s="8" t="s">
        <v>30</v>
      </c>
      <c r="L345" s="8" t="s">
        <v>84</v>
      </c>
      <c r="M345" s="8" t="s">
        <v>629</v>
      </c>
      <c r="N345" s="8" t="s">
        <v>71</v>
      </c>
      <c r="O345" s="1" t="str">
        <f>VLOOKUP(C345,[1]Sheet2!A:C,2,FALSE)</f>
        <v>立充充电宝取机柜-物流服务</v>
      </c>
      <c r="P345" s="1" t="str">
        <f>VLOOKUP(C345,[1]Sheet2!G:H,2,FALSE)</f>
        <v>131****2614</v>
      </c>
      <c r="Q345" s="31" t="s">
        <v>210</v>
      </c>
    </row>
    <row r="346" s="1" customFormat="1" spans="1:17">
      <c r="A346" s="8" t="s">
        <v>657</v>
      </c>
      <c r="B346" s="8" t="s">
        <v>652</v>
      </c>
      <c r="C346" s="8" t="s">
        <v>632</v>
      </c>
      <c r="D346" s="8" t="s">
        <v>137</v>
      </c>
      <c r="E346" s="8" t="s">
        <v>45</v>
      </c>
      <c r="F346" s="8" t="s">
        <v>46</v>
      </c>
      <c r="G346" s="8" t="s">
        <v>34</v>
      </c>
      <c r="H346" s="8" t="s">
        <v>27</v>
      </c>
      <c r="I346" s="8" t="s">
        <v>69</v>
      </c>
      <c r="J346" s="8" t="s">
        <v>70</v>
      </c>
      <c r="K346" s="8" t="s">
        <v>30</v>
      </c>
      <c r="L346" s="8" t="s">
        <v>70</v>
      </c>
      <c r="M346" s="8" t="s">
        <v>46</v>
      </c>
      <c r="N346" s="8" t="s">
        <v>71</v>
      </c>
      <c r="O346" s="1" t="str">
        <f>VLOOKUP(C346,[1]Sheet2!A:C,2,FALSE)</f>
        <v>取宝-物流服务</v>
      </c>
      <c r="P346" s="1" t="str">
        <f>VLOOKUP(C346,[1]Sheet2!G:H,2,FALSE)</f>
        <v>186****6788</v>
      </c>
      <c r="Q346" s="12" t="s">
        <v>48</v>
      </c>
    </row>
    <row r="347" s="1" customFormat="1" spans="1:17">
      <c r="A347" s="8" t="s">
        <v>658</v>
      </c>
      <c r="B347" s="8" t="s">
        <v>652</v>
      </c>
      <c r="C347" s="8" t="s">
        <v>635</v>
      </c>
      <c r="D347" s="8" t="s">
        <v>137</v>
      </c>
      <c r="E347" s="8" t="s">
        <v>45</v>
      </c>
      <c r="F347" s="8" t="s">
        <v>46</v>
      </c>
      <c r="G347" s="8" t="s">
        <v>34</v>
      </c>
      <c r="H347" s="8" t="s">
        <v>27</v>
      </c>
      <c r="I347" s="8" t="s">
        <v>69</v>
      </c>
      <c r="J347" s="8" t="s">
        <v>84</v>
      </c>
      <c r="K347" s="8" t="s">
        <v>30</v>
      </c>
      <c r="L347" s="8" t="s">
        <v>84</v>
      </c>
      <c r="M347" s="8" t="s">
        <v>46</v>
      </c>
      <c r="N347" s="8" t="s">
        <v>71</v>
      </c>
      <c r="O347" s="1" t="str">
        <f>VLOOKUP(C347,[1]Sheet2!A:C,2,FALSE)</f>
        <v>立充充电宝取机柜-物流服务</v>
      </c>
      <c r="P347" s="1" t="str">
        <f>VLOOKUP(C347,[1]Sheet2!G:H,2,FALSE)</f>
        <v>186****6788</v>
      </c>
      <c r="Q347" s="12" t="s">
        <v>48</v>
      </c>
    </row>
    <row r="348" s="1" customFormat="1" spans="1:17">
      <c r="A348" s="8" t="s">
        <v>659</v>
      </c>
      <c r="B348" s="8" t="s">
        <v>652</v>
      </c>
      <c r="C348" s="8" t="s">
        <v>642</v>
      </c>
      <c r="D348" s="8" t="s">
        <v>45</v>
      </c>
      <c r="E348" s="8" t="s">
        <v>45</v>
      </c>
      <c r="F348" s="8" t="s">
        <v>46</v>
      </c>
      <c r="G348" s="8" t="s">
        <v>34</v>
      </c>
      <c r="H348" s="8" t="s">
        <v>27</v>
      </c>
      <c r="I348" s="8" t="s">
        <v>69</v>
      </c>
      <c r="J348" s="8" t="s">
        <v>70</v>
      </c>
      <c r="K348" s="8" t="s">
        <v>30</v>
      </c>
      <c r="L348" s="8" t="s">
        <v>70</v>
      </c>
      <c r="M348" s="8" t="s">
        <v>46</v>
      </c>
      <c r="N348" s="8" t="s">
        <v>71</v>
      </c>
      <c r="O348" s="1" t="str">
        <f>VLOOKUP(C348,[1]Sheet2!A:C,2,FALSE)</f>
        <v>取宝-物流服务</v>
      </c>
      <c r="P348" s="1" t="str">
        <f>VLOOKUP(C348,[1]Sheet2!G:H,2,FALSE)</f>
        <v>186****6788</v>
      </c>
      <c r="Q348" s="12" t="s">
        <v>48</v>
      </c>
    </row>
    <row r="349" s="1" customFormat="1" spans="1:17">
      <c r="A349" s="8" t="s">
        <v>660</v>
      </c>
      <c r="B349" s="8" t="s">
        <v>652</v>
      </c>
      <c r="C349" s="8" t="s">
        <v>645</v>
      </c>
      <c r="D349" s="8" t="s">
        <v>45</v>
      </c>
      <c r="E349" s="8" t="s">
        <v>45</v>
      </c>
      <c r="F349" s="8" t="s">
        <v>46</v>
      </c>
      <c r="G349" s="8" t="s">
        <v>34</v>
      </c>
      <c r="H349" s="8" t="s">
        <v>27</v>
      </c>
      <c r="I349" s="8" t="s">
        <v>69</v>
      </c>
      <c r="J349" s="8" t="s">
        <v>70</v>
      </c>
      <c r="K349" s="8" t="s">
        <v>30</v>
      </c>
      <c r="L349" s="8" t="s">
        <v>70</v>
      </c>
      <c r="M349" s="8" t="s">
        <v>46</v>
      </c>
      <c r="N349" s="8" t="s">
        <v>71</v>
      </c>
      <c r="O349" s="1" t="str">
        <f>VLOOKUP(C349,[1]Sheet2!A:C,2,FALSE)</f>
        <v>取宝-物流服务</v>
      </c>
      <c r="P349" s="1" t="str">
        <f>VLOOKUP(C349,[1]Sheet2!G:H,2,FALSE)</f>
        <v>186****6788</v>
      </c>
      <c r="Q349" s="12" t="s">
        <v>48</v>
      </c>
    </row>
    <row r="350" s="1" customFormat="1" spans="1:17">
      <c r="A350" s="8" t="s">
        <v>661</v>
      </c>
      <c r="B350" s="8" t="s">
        <v>652</v>
      </c>
      <c r="C350" s="8" t="s">
        <v>648</v>
      </c>
      <c r="D350" s="8" t="s">
        <v>45</v>
      </c>
      <c r="E350" s="8" t="s">
        <v>45</v>
      </c>
      <c r="F350" s="8" t="s">
        <v>46</v>
      </c>
      <c r="G350" s="8" t="s">
        <v>34</v>
      </c>
      <c r="H350" s="8" t="s">
        <v>27</v>
      </c>
      <c r="I350" s="8" t="s">
        <v>69</v>
      </c>
      <c r="J350" s="8" t="s">
        <v>84</v>
      </c>
      <c r="K350" s="8" t="s">
        <v>30</v>
      </c>
      <c r="L350" s="8" t="s">
        <v>84</v>
      </c>
      <c r="M350" s="8" t="s">
        <v>46</v>
      </c>
      <c r="N350" s="8" t="s">
        <v>71</v>
      </c>
      <c r="O350" s="1" t="str">
        <f>VLOOKUP(C350,[1]Sheet2!A:C,2,FALSE)</f>
        <v>立充充电宝取机柜-物流服务</v>
      </c>
      <c r="P350" s="1" t="str">
        <f>VLOOKUP(C350,[1]Sheet2!G:H,2,FALSE)</f>
        <v>186****6788</v>
      </c>
      <c r="Q350" s="12" t="s">
        <v>48</v>
      </c>
    </row>
    <row r="351" s="1" customFormat="1" spans="1:17">
      <c r="A351" s="8" t="s">
        <v>662</v>
      </c>
      <c r="B351" s="8" t="s">
        <v>663</v>
      </c>
      <c r="C351" s="8" t="s">
        <v>664</v>
      </c>
      <c r="D351" s="8" t="s">
        <v>45</v>
      </c>
      <c r="E351" s="8" t="s">
        <v>45</v>
      </c>
      <c r="F351" s="8" t="s">
        <v>46</v>
      </c>
      <c r="G351" s="8" t="s">
        <v>26</v>
      </c>
      <c r="H351" s="8" t="s">
        <v>27</v>
      </c>
      <c r="I351" s="8" t="s">
        <v>28</v>
      </c>
      <c r="J351" s="8" t="s">
        <v>47</v>
      </c>
      <c r="K351" s="8" t="s">
        <v>30</v>
      </c>
      <c r="L351" s="8" t="s">
        <v>47</v>
      </c>
      <c r="M351" s="8" t="s">
        <v>46</v>
      </c>
      <c r="N351" s="8" t="s">
        <v>31</v>
      </c>
      <c r="O351" s="1" t="str">
        <f>VLOOKUP(C351,[1]Sheet2!A:C,2,FALSE)</f>
        <v>取宝-物流服务</v>
      </c>
      <c r="P351" s="1" t="str">
        <f>VLOOKUP(C351,[1]Sheet2!G:H,2,FALSE)</f>
        <v>186****6788</v>
      </c>
      <c r="Q351" s="12" t="s">
        <v>48</v>
      </c>
    </row>
    <row r="352" s="1" customFormat="1" spans="1:17">
      <c r="A352" s="8" t="s">
        <v>665</v>
      </c>
      <c r="B352" s="8" t="s">
        <v>663</v>
      </c>
      <c r="C352" s="8" t="s">
        <v>664</v>
      </c>
      <c r="D352" s="8" t="s">
        <v>45</v>
      </c>
      <c r="E352" s="8" t="s">
        <v>45</v>
      </c>
      <c r="F352" s="8" t="s">
        <v>46</v>
      </c>
      <c r="G352" s="8" t="s">
        <v>34</v>
      </c>
      <c r="H352" s="8" t="s">
        <v>27</v>
      </c>
      <c r="I352" s="8" t="s">
        <v>28</v>
      </c>
      <c r="J352" s="8" t="s">
        <v>55</v>
      </c>
      <c r="K352" s="8" t="s">
        <v>30</v>
      </c>
      <c r="L352" s="8" t="s">
        <v>55</v>
      </c>
      <c r="M352" s="8" t="s">
        <v>46</v>
      </c>
      <c r="N352" s="8" t="s">
        <v>36</v>
      </c>
      <c r="O352" s="1" t="str">
        <f>VLOOKUP(C352,[1]Sheet2!A:C,2,FALSE)</f>
        <v>取宝-物流服务</v>
      </c>
      <c r="P352" s="1" t="str">
        <f>VLOOKUP(C352,[1]Sheet2!G:H,2,FALSE)</f>
        <v>186****6788</v>
      </c>
      <c r="Q352" s="12" t="s">
        <v>48</v>
      </c>
    </row>
    <row r="353" s="1" customFormat="1" spans="1:17">
      <c r="A353" s="8" t="s">
        <v>666</v>
      </c>
      <c r="B353" s="8" t="s">
        <v>663</v>
      </c>
      <c r="C353" s="8" t="s">
        <v>667</v>
      </c>
      <c r="D353" s="8" t="s">
        <v>45</v>
      </c>
      <c r="E353" s="8" t="s">
        <v>45</v>
      </c>
      <c r="F353" s="8" t="s">
        <v>46</v>
      </c>
      <c r="G353" s="8" t="s">
        <v>26</v>
      </c>
      <c r="H353" s="8" t="s">
        <v>27</v>
      </c>
      <c r="I353" s="8" t="s">
        <v>28</v>
      </c>
      <c r="J353" s="8" t="s">
        <v>47</v>
      </c>
      <c r="K353" s="8" t="s">
        <v>30</v>
      </c>
      <c r="L353" s="8" t="s">
        <v>47</v>
      </c>
      <c r="M353" s="8" t="s">
        <v>46</v>
      </c>
      <c r="N353" s="8" t="s">
        <v>31</v>
      </c>
      <c r="O353" s="1" t="str">
        <f>VLOOKUP(C353,[1]Sheet2!A:C,2,FALSE)</f>
        <v>取宝-物流服务</v>
      </c>
      <c r="P353" s="1" t="str">
        <f>VLOOKUP(C353,[1]Sheet2!G:H,2,FALSE)</f>
        <v>186****6788</v>
      </c>
      <c r="Q353" s="12" t="s">
        <v>48</v>
      </c>
    </row>
    <row r="354" s="1" customFormat="1" spans="1:17">
      <c r="A354" s="8" t="s">
        <v>668</v>
      </c>
      <c r="B354" s="8" t="s">
        <v>663</v>
      </c>
      <c r="C354" s="8" t="s">
        <v>667</v>
      </c>
      <c r="D354" s="8" t="s">
        <v>45</v>
      </c>
      <c r="E354" s="8" t="s">
        <v>45</v>
      </c>
      <c r="F354" s="8" t="s">
        <v>46</v>
      </c>
      <c r="G354" s="8" t="s">
        <v>34</v>
      </c>
      <c r="H354" s="8" t="s">
        <v>27</v>
      </c>
      <c r="I354" s="8" t="s">
        <v>28</v>
      </c>
      <c r="J354" s="8" t="s">
        <v>55</v>
      </c>
      <c r="K354" s="8" t="s">
        <v>30</v>
      </c>
      <c r="L354" s="8" t="s">
        <v>55</v>
      </c>
      <c r="M354" s="8" t="s">
        <v>46</v>
      </c>
      <c r="N354" s="8" t="s">
        <v>36</v>
      </c>
      <c r="O354" s="1" t="str">
        <f>VLOOKUP(C354,[1]Sheet2!A:C,2,FALSE)</f>
        <v>取宝-物流服务</v>
      </c>
      <c r="P354" s="1" t="str">
        <f>VLOOKUP(C354,[1]Sheet2!G:H,2,FALSE)</f>
        <v>186****6788</v>
      </c>
      <c r="Q354" s="12" t="s">
        <v>48</v>
      </c>
    </row>
    <row r="355" s="1" customFormat="1" spans="1:17">
      <c r="A355" s="8" t="s">
        <v>669</v>
      </c>
      <c r="B355" s="8" t="s">
        <v>663</v>
      </c>
      <c r="C355" s="8" t="s">
        <v>670</v>
      </c>
      <c r="D355" s="8" t="s">
        <v>45</v>
      </c>
      <c r="E355" s="8" t="s">
        <v>45</v>
      </c>
      <c r="F355" s="8" t="s">
        <v>46</v>
      </c>
      <c r="G355" s="8" t="s">
        <v>365</v>
      </c>
      <c r="H355" s="8" t="s">
        <v>27</v>
      </c>
      <c r="I355" s="8" t="s">
        <v>28</v>
      </c>
      <c r="J355" s="8" t="s">
        <v>29</v>
      </c>
      <c r="K355" s="8" t="s">
        <v>30</v>
      </c>
      <c r="L355" s="8" t="s">
        <v>29</v>
      </c>
      <c r="M355" s="8" t="s">
        <v>46</v>
      </c>
      <c r="N355" s="8" t="s">
        <v>31</v>
      </c>
      <c r="O355" s="1" t="str">
        <f>VLOOKUP(C355,[1]Sheet2!A:C,2,FALSE)</f>
        <v>立充充电宝取机柜-物流服务</v>
      </c>
      <c r="P355" s="1" t="str">
        <f>VLOOKUP(C355,[1]Sheet2!G:H,2,FALSE)</f>
        <v>186****6788</v>
      </c>
      <c r="Q355" s="12" t="s">
        <v>48</v>
      </c>
    </row>
    <row r="356" s="1" customFormat="1" spans="1:17">
      <c r="A356" s="8" t="s">
        <v>671</v>
      </c>
      <c r="B356" s="8" t="s">
        <v>663</v>
      </c>
      <c r="C356" s="8" t="s">
        <v>670</v>
      </c>
      <c r="D356" s="8" t="s">
        <v>45</v>
      </c>
      <c r="E356" s="8" t="s">
        <v>45</v>
      </c>
      <c r="F356" s="8" t="s">
        <v>46</v>
      </c>
      <c r="G356" s="8" t="s">
        <v>34</v>
      </c>
      <c r="H356" s="8" t="s">
        <v>27</v>
      </c>
      <c r="I356" s="8" t="s">
        <v>28</v>
      </c>
      <c r="J356" s="8" t="s">
        <v>97</v>
      </c>
      <c r="K356" s="8" t="s">
        <v>30</v>
      </c>
      <c r="L356" s="8" t="s">
        <v>97</v>
      </c>
      <c r="M356" s="8" t="s">
        <v>46</v>
      </c>
      <c r="N356" s="8" t="s">
        <v>36</v>
      </c>
      <c r="O356" s="1" t="str">
        <f>VLOOKUP(C356,[1]Sheet2!A:C,2,FALSE)</f>
        <v>立充充电宝取机柜-物流服务</v>
      </c>
      <c r="P356" s="1" t="str">
        <f>VLOOKUP(C356,[1]Sheet2!G:H,2,FALSE)</f>
        <v>186****6788</v>
      </c>
      <c r="Q356" s="12" t="s">
        <v>48</v>
      </c>
    </row>
    <row r="357" s="1" customFormat="1" spans="1:17">
      <c r="A357" s="8" t="s">
        <v>672</v>
      </c>
      <c r="B357" s="8" t="s">
        <v>663</v>
      </c>
      <c r="C357" s="8" t="s">
        <v>673</v>
      </c>
      <c r="D357" s="8" t="s">
        <v>205</v>
      </c>
      <c r="E357" s="8" t="s">
        <v>674</v>
      </c>
      <c r="F357" s="8" t="s">
        <v>675</v>
      </c>
      <c r="G357" s="8" t="s">
        <v>26</v>
      </c>
      <c r="H357" s="8" t="s">
        <v>27</v>
      </c>
      <c r="I357" s="8" t="s">
        <v>28</v>
      </c>
      <c r="J357" s="8" t="s">
        <v>29</v>
      </c>
      <c r="K357" s="8" t="s">
        <v>30</v>
      </c>
      <c r="L357" s="8" t="s">
        <v>29</v>
      </c>
      <c r="M357" s="8" t="s">
        <v>676</v>
      </c>
      <c r="N357" s="8" t="s">
        <v>31</v>
      </c>
      <c r="O357" s="1" t="str">
        <f>VLOOKUP(C357,[1]Sheet2!A:C,2,FALSE)</f>
        <v>取宝-仅物流</v>
      </c>
      <c r="P357" s="1" t="str">
        <f>VLOOKUP(C357,[1]Sheet2!G:H,2,FALSE)</f>
        <v>165****7666</v>
      </c>
      <c r="Q357" s="31" t="s">
        <v>318</v>
      </c>
    </row>
    <row r="358" s="1" customFormat="1" spans="1:17">
      <c r="A358" s="8" t="s">
        <v>677</v>
      </c>
      <c r="B358" s="8" t="s">
        <v>663</v>
      </c>
      <c r="C358" s="8" t="s">
        <v>673</v>
      </c>
      <c r="D358" s="8" t="s">
        <v>205</v>
      </c>
      <c r="E358" s="8" t="s">
        <v>674</v>
      </c>
      <c r="F358" s="8" t="s">
        <v>675</v>
      </c>
      <c r="G358" s="8" t="s">
        <v>34</v>
      </c>
      <c r="H358" s="8" t="s">
        <v>27</v>
      </c>
      <c r="I358" s="8" t="s">
        <v>28</v>
      </c>
      <c r="J358" s="8" t="s">
        <v>55</v>
      </c>
      <c r="K358" s="8" t="s">
        <v>30</v>
      </c>
      <c r="L358" s="8" t="s">
        <v>55</v>
      </c>
      <c r="M358" s="8" t="s">
        <v>676</v>
      </c>
      <c r="N358" s="8" t="s">
        <v>36</v>
      </c>
      <c r="O358" s="1" t="str">
        <f>VLOOKUP(C358,[1]Sheet2!A:C,2,FALSE)</f>
        <v>取宝-仅物流</v>
      </c>
      <c r="P358" s="1" t="str">
        <f>VLOOKUP(C358,[1]Sheet2!G:H,2,FALSE)</f>
        <v>165****7666</v>
      </c>
      <c r="Q358" s="31" t="s">
        <v>318</v>
      </c>
    </row>
    <row r="359" s="1" customFormat="1" spans="1:17">
      <c r="A359" s="8" t="s">
        <v>678</v>
      </c>
      <c r="B359" s="8" t="s">
        <v>663</v>
      </c>
      <c r="C359" s="8" t="s">
        <v>679</v>
      </c>
      <c r="D359" s="8" t="s">
        <v>205</v>
      </c>
      <c r="E359" s="8" t="s">
        <v>674</v>
      </c>
      <c r="F359" s="8" t="s">
        <v>675</v>
      </c>
      <c r="G359" s="8" t="s">
        <v>26</v>
      </c>
      <c r="H359" s="8" t="s">
        <v>27</v>
      </c>
      <c r="I359" s="8" t="s">
        <v>28</v>
      </c>
      <c r="J359" s="8" t="s">
        <v>29</v>
      </c>
      <c r="K359" s="8" t="s">
        <v>30</v>
      </c>
      <c r="L359" s="8" t="s">
        <v>29</v>
      </c>
      <c r="M359" s="8" t="s">
        <v>676</v>
      </c>
      <c r="N359" s="8" t="s">
        <v>31</v>
      </c>
      <c r="O359" s="1" t="str">
        <f>VLOOKUP(C359,[1]Sheet2!A:C,2,FALSE)</f>
        <v>取宝-仅物流</v>
      </c>
      <c r="P359" s="1" t="str">
        <f>VLOOKUP(C359,[1]Sheet2!G:H,2,FALSE)</f>
        <v>165****7666</v>
      </c>
      <c r="Q359" s="31" t="s">
        <v>318</v>
      </c>
    </row>
    <row r="360" s="1" customFormat="1" spans="1:17">
      <c r="A360" s="8" t="s">
        <v>680</v>
      </c>
      <c r="B360" s="8" t="s">
        <v>663</v>
      </c>
      <c r="C360" s="8" t="s">
        <v>679</v>
      </c>
      <c r="D360" s="8" t="s">
        <v>205</v>
      </c>
      <c r="E360" s="8" t="s">
        <v>674</v>
      </c>
      <c r="F360" s="8" t="s">
        <v>675</v>
      </c>
      <c r="G360" s="8" t="s">
        <v>34</v>
      </c>
      <c r="H360" s="8" t="s">
        <v>27</v>
      </c>
      <c r="I360" s="8" t="s">
        <v>28</v>
      </c>
      <c r="J360" s="8" t="s">
        <v>55</v>
      </c>
      <c r="K360" s="8" t="s">
        <v>30</v>
      </c>
      <c r="L360" s="8" t="s">
        <v>55</v>
      </c>
      <c r="M360" s="8" t="s">
        <v>676</v>
      </c>
      <c r="N360" s="8" t="s">
        <v>36</v>
      </c>
      <c r="O360" s="1" t="str">
        <f>VLOOKUP(C360,[1]Sheet2!A:C,2,FALSE)</f>
        <v>取宝-仅物流</v>
      </c>
      <c r="P360" s="1" t="str">
        <f>VLOOKUP(C360,[1]Sheet2!G:H,2,FALSE)</f>
        <v>165****7666</v>
      </c>
      <c r="Q360" s="31" t="s">
        <v>318</v>
      </c>
    </row>
    <row r="361" s="1" customFormat="1" spans="1:17">
      <c r="A361" s="8" t="s">
        <v>681</v>
      </c>
      <c r="B361" s="8" t="s">
        <v>663</v>
      </c>
      <c r="C361" s="8" t="s">
        <v>653</v>
      </c>
      <c r="D361" s="8" t="s">
        <v>76</v>
      </c>
      <c r="E361" s="8" t="s">
        <v>76</v>
      </c>
      <c r="F361" s="8" t="s">
        <v>654</v>
      </c>
      <c r="G361" s="8" t="s">
        <v>34</v>
      </c>
      <c r="H361" s="8" t="s">
        <v>27</v>
      </c>
      <c r="I361" s="8" t="s">
        <v>69</v>
      </c>
      <c r="J361" s="8" t="s">
        <v>70</v>
      </c>
      <c r="K361" s="8" t="s">
        <v>30</v>
      </c>
      <c r="L361" s="8" t="s">
        <v>70</v>
      </c>
      <c r="M361" s="8" t="s">
        <v>655</v>
      </c>
      <c r="N361" s="8" t="s">
        <v>71</v>
      </c>
      <c r="O361" s="1" t="str">
        <f>VLOOKUP(C361,[1]Sheet2!A:C,2,FALSE)</f>
        <v>取宝-物流服务</v>
      </c>
      <c r="P361" s="1" t="str">
        <f>VLOOKUP(C361,[1]Sheet2!G:H,2,FALSE)</f>
        <v>137****3997</v>
      </c>
      <c r="Q361" s="12" t="s">
        <v>498</v>
      </c>
    </row>
    <row r="362" s="1" customFormat="1" spans="1:17">
      <c r="A362" s="8" t="s">
        <v>682</v>
      </c>
      <c r="B362" s="8" t="s">
        <v>663</v>
      </c>
      <c r="C362" s="8" t="s">
        <v>624</v>
      </c>
      <c r="D362" s="8" t="s">
        <v>24</v>
      </c>
      <c r="E362" s="8" t="s">
        <v>23</v>
      </c>
      <c r="F362" s="8" t="s">
        <v>625</v>
      </c>
      <c r="G362" s="8" t="s">
        <v>34</v>
      </c>
      <c r="H362" s="8" t="s">
        <v>27</v>
      </c>
      <c r="I362" s="8" t="s">
        <v>69</v>
      </c>
      <c r="J362" s="8" t="s">
        <v>70</v>
      </c>
      <c r="K362" s="8" t="s">
        <v>30</v>
      </c>
      <c r="L362" s="8" t="s">
        <v>70</v>
      </c>
      <c r="M362" s="8" t="s">
        <v>177</v>
      </c>
      <c r="N362" s="8" t="s">
        <v>219</v>
      </c>
      <c r="O362" s="1" t="str">
        <f>VLOOKUP(C362,[1]Sheet2!A:C,2,FALSE)</f>
        <v>补宝-物流服务</v>
      </c>
      <c r="P362" s="1" t="str">
        <f>VLOOKUP(C362,[1]Sheet2!G:H,2,FALSE)</f>
        <v>134****6101</v>
      </c>
      <c r="Q362" s="31" t="s">
        <v>32</v>
      </c>
    </row>
    <row r="363" s="1" customFormat="1" spans="1:17">
      <c r="A363" s="8" t="s">
        <v>683</v>
      </c>
      <c r="B363" s="8" t="s">
        <v>663</v>
      </c>
      <c r="C363" s="8" t="s">
        <v>638</v>
      </c>
      <c r="D363" s="8" t="s">
        <v>24</v>
      </c>
      <c r="E363" s="8" t="s">
        <v>23</v>
      </c>
      <c r="F363" s="8" t="s">
        <v>625</v>
      </c>
      <c r="G363" s="8" t="s">
        <v>34</v>
      </c>
      <c r="H363" s="8" t="s">
        <v>27</v>
      </c>
      <c r="I363" s="8" t="s">
        <v>69</v>
      </c>
      <c r="J363" s="8" t="s">
        <v>70</v>
      </c>
      <c r="K363" s="8" t="s">
        <v>30</v>
      </c>
      <c r="L363" s="8" t="s">
        <v>70</v>
      </c>
      <c r="M363" s="8" t="s">
        <v>177</v>
      </c>
      <c r="N363" s="8" t="s">
        <v>219</v>
      </c>
      <c r="O363" s="1" t="str">
        <f>VLOOKUP(C363,[1]Sheet2!A:C,2,FALSE)</f>
        <v>补宝-物流服务</v>
      </c>
      <c r="P363" s="1" t="str">
        <f>VLOOKUP(C363,[1]Sheet2!G:H,2,FALSE)</f>
        <v>134****6101</v>
      </c>
      <c r="Q363" s="31" t="s">
        <v>32</v>
      </c>
    </row>
    <row r="364" s="1" customFormat="1" spans="1:17">
      <c r="A364" s="8" t="s">
        <v>684</v>
      </c>
      <c r="B364" s="8" t="s">
        <v>663</v>
      </c>
      <c r="C364" s="8" t="s">
        <v>640</v>
      </c>
      <c r="D364" s="8" t="s">
        <v>24</v>
      </c>
      <c r="E364" s="8" t="s">
        <v>23</v>
      </c>
      <c r="F364" s="8" t="s">
        <v>625</v>
      </c>
      <c r="G364" s="8" t="s">
        <v>34</v>
      </c>
      <c r="H364" s="8" t="s">
        <v>27</v>
      </c>
      <c r="I364" s="8" t="s">
        <v>69</v>
      </c>
      <c r="J364" s="8" t="s">
        <v>70</v>
      </c>
      <c r="K364" s="8" t="s">
        <v>30</v>
      </c>
      <c r="L364" s="8" t="s">
        <v>70</v>
      </c>
      <c r="M364" s="8" t="s">
        <v>177</v>
      </c>
      <c r="N364" s="8" t="s">
        <v>219</v>
      </c>
      <c r="O364" s="1" t="str">
        <f>VLOOKUP(C364,[1]Sheet2!A:C,2,FALSE)</f>
        <v>补宝-物流服务</v>
      </c>
      <c r="P364" s="1" t="str">
        <f>VLOOKUP(C364,[1]Sheet2!G:H,2,FALSE)</f>
        <v>134****6101</v>
      </c>
      <c r="Q364" s="31" t="s">
        <v>32</v>
      </c>
    </row>
    <row r="365" s="1" customFormat="1" spans="1:17">
      <c r="A365" s="8" t="s">
        <v>685</v>
      </c>
      <c r="B365" s="8" t="s">
        <v>663</v>
      </c>
      <c r="C365" s="8" t="s">
        <v>686</v>
      </c>
      <c r="D365" s="8" t="s">
        <v>205</v>
      </c>
      <c r="E365" s="8" t="s">
        <v>674</v>
      </c>
      <c r="F365" s="8" t="s">
        <v>675</v>
      </c>
      <c r="G365" s="8" t="s">
        <v>64</v>
      </c>
      <c r="H365" s="8" t="s">
        <v>27</v>
      </c>
      <c r="I365" s="8" t="s">
        <v>28</v>
      </c>
      <c r="J365" s="8" t="s">
        <v>95</v>
      </c>
      <c r="K365" s="8" t="s">
        <v>30</v>
      </c>
      <c r="L365" s="8" t="s">
        <v>95</v>
      </c>
      <c r="M365" s="8" t="s">
        <v>676</v>
      </c>
      <c r="N365" s="8" t="s">
        <v>31</v>
      </c>
      <c r="O365" s="1" t="s">
        <v>437</v>
      </c>
      <c r="P365" s="1" t="str">
        <f>VLOOKUP(C365,[1]Sheet2!G:H,2,FALSE)</f>
        <v>165****7666</v>
      </c>
      <c r="Q365" s="31" t="s">
        <v>318</v>
      </c>
    </row>
    <row r="366" s="1" customFormat="1" spans="1:17">
      <c r="A366" s="8" t="s">
        <v>687</v>
      </c>
      <c r="B366" s="8" t="s">
        <v>663</v>
      </c>
      <c r="C366" s="8" t="s">
        <v>686</v>
      </c>
      <c r="D366" s="8" t="s">
        <v>205</v>
      </c>
      <c r="E366" s="8" t="s">
        <v>674</v>
      </c>
      <c r="F366" s="8" t="s">
        <v>675</v>
      </c>
      <c r="G366" s="8" t="s">
        <v>34</v>
      </c>
      <c r="H366" s="8" t="s">
        <v>27</v>
      </c>
      <c r="I366" s="8" t="s">
        <v>28</v>
      </c>
      <c r="J366" s="8" t="s">
        <v>688</v>
      </c>
      <c r="K366" s="8" t="s">
        <v>30</v>
      </c>
      <c r="L366" s="8" t="s">
        <v>688</v>
      </c>
      <c r="M366" s="8" t="s">
        <v>676</v>
      </c>
      <c r="N366" s="8" t="s">
        <v>36</v>
      </c>
      <c r="O366" s="1" t="s">
        <v>437</v>
      </c>
      <c r="P366" s="1" t="str">
        <f>VLOOKUP(C366,[1]Sheet2!G:H,2,FALSE)</f>
        <v>165****7666</v>
      </c>
      <c r="Q366" s="31" t="s">
        <v>318</v>
      </c>
    </row>
    <row r="367" s="1" customFormat="1" spans="1:17">
      <c r="A367" s="8" t="s">
        <v>689</v>
      </c>
      <c r="B367" s="8" t="s">
        <v>663</v>
      </c>
      <c r="C367" s="8" t="s">
        <v>690</v>
      </c>
      <c r="D367" s="8" t="s">
        <v>205</v>
      </c>
      <c r="E367" s="8" t="s">
        <v>674</v>
      </c>
      <c r="F367" s="8" t="s">
        <v>675</v>
      </c>
      <c r="G367" s="8" t="s">
        <v>26</v>
      </c>
      <c r="H367" s="8" t="s">
        <v>27</v>
      </c>
      <c r="I367" s="8" t="s">
        <v>28</v>
      </c>
      <c r="J367" s="8" t="s">
        <v>29</v>
      </c>
      <c r="K367" s="8" t="s">
        <v>30</v>
      </c>
      <c r="L367" s="8" t="s">
        <v>29</v>
      </c>
      <c r="M367" s="8" t="s">
        <v>676</v>
      </c>
      <c r="N367" s="8" t="s">
        <v>31</v>
      </c>
      <c r="O367" s="1" t="str">
        <f>VLOOKUP(C367,[1]Sheet2!A:C,2,FALSE)</f>
        <v>取宝-仅物流</v>
      </c>
      <c r="P367" s="1" t="str">
        <f>VLOOKUP(C367,[1]Sheet2!G:H,2,FALSE)</f>
        <v>165****7666</v>
      </c>
      <c r="Q367" s="31" t="s">
        <v>318</v>
      </c>
    </row>
    <row r="368" s="1" customFormat="1" spans="1:17">
      <c r="A368" s="8" t="s">
        <v>691</v>
      </c>
      <c r="B368" s="8" t="s">
        <v>663</v>
      </c>
      <c r="C368" s="8" t="s">
        <v>690</v>
      </c>
      <c r="D368" s="8" t="s">
        <v>205</v>
      </c>
      <c r="E368" s="8" t="s">
        <v>674</v>
      </c>
      <c r="F368" s="8" t="s">
        <v>675</v>
      </c>
      <c r="G368" s="8" t="s">
        <v>34</v>
      </c>
      <c r="H368" s="8" t="s">
        <v>27</v>
      </c>
      <c r="I368" s="8" t="s">
        <v>28</v>
      </c>
      <c r="J368" s="8" t="s">
        <v>55</v>
      </c>
      <c r="K368" s="8" t="s">
        <v>30</v>
      </c>
      <c r="L368" s="8" t="s">
        <v>55</v>
      </c>
      <c r="M368" s="8" t="s">
        <v>676</v>
      </c>
      <c r="N368" s="8" t="s">
        <v>36</v>
      </c>
      <c r="O368" s="1" t="str">
        <f>VLOOKUP(C368,[1]Sheet2!A:C,2,FALSE)</f>
        <v>取宝-仅物流</v>
      </c>
      <c r="P368" s="1" t="str">
        <f>VLOOKUP(C368,[1]Sheet2!G:H,2,FALSE)</f>
        <v>165****7666</v>
      </c>
      <c r="Q368" s="31" t="s">
        <v>318</v>
      </c>
    </row>
    <row r="369" s="1" customFormat="1" spans="1:17">
      <c r="A369" s="8" t="s">
        <v>692</v>
      </c>
      <c r="B369" s="8" t="s">
        <v>693</v>
      </c>
      <c r="C369" s="8" t="s">
        <v>664</v>
      </c>
      <c r="D369" s="8" t="s">
        <v>45</v>
      </c>
      <c r="E369" s="8" t="s">
        <v>45</v>
      </c>
      <c r="F369" s="8" t="s">
        <v>46</v>
      </c>
      <c r="G369" s="8" t="s">
        <v>34</v>
      </c>
      <c r="H369" s="8" t="s">
        <v>27</v>
      </c>
      <c r="I369" s="8" t="s">
        <v>69</v>
      </c>
      <c r="J369" s="8" t="s">
        <v>70</v>
      </c>
      <c r="K369" s="8" t="s">
        <v>30</v>
      </c>
      <c r="L369" s="8" t="s">
        <v>70</v>
      </c>
      <c r="M369" s="8" t="s">
        <v>46</v>
      </c>
      <c r="N369" s="8" t="s">
        <v>71</v>
      </c>
      <c r="O369" s="1" t="str">
        <f>VLOOKUP(C369,[1]Sheet2!A:C,2,FALSE)</f>
        <v>取宝-物流服务</v>
      </c>
      <c r="P369" s="1" t="str">
        <f>VLOOKUP(C369,[1]Sheet2!G:H,2,FALSE)</f>
        <v>186****6788</v>
      </c>
      <c r="Q369" s="12" t="s">
        <v>48</v>
      </c>
    </row>
    <row r="370" s="1" customFormat="1" spans="1:17">
      <c r="A370" s="8" t="s">
        <v>694</v>
      </c>
      <c r="B370" s="8" t="s">
        <v>693</v>
      </c>
      <c r="C370" s="8" t="s">
        <v>667</v>
      </c>
      <c r="D370" s="8" t="s">
        <v>45</v>
      </c>
      <c r="E370" s="8" t="s">
        <v>45</v>
      </c>
      <c r="F370" s="8" t="s">
        <v>46</v>
      </c>
      <c r="G370" s="8" t="s">
        <v>34</v>
      </c>
      <c r="H370" s="8" t="s">
        <v>27</v>
      </c>
      <c r="I370" s="8" t="s">
        <v>69</v>
      </c>
      <c r="J370" s="8" t="s">
        <v>70</v>
      </c>
      <c r="K370" s="8" t="s">
        <v>30</v>
      </c>
      <c r="L370" s="8" t="s">
        <v>70</v>
      </c>
      <c r="M370" s="8" t="s">
        <v>46</v>
      </c>
      <c r="N370" s="8" t="s">
        <v>71</v>
      </c>
      <c r="O370" s="1" t="str">
        <f>VLOOKUP(C370,[1]Sheet2!A:C,2,FALSE)</f>
        <v>取宝-物流服务</v>
      </c>
      <c r="P370" s="1" t="str">
        <f>VLOOKUP(C370,[1]Sheet2!G:H,2,FALSE)</f>
        <v>186****6788</v>
      </c>
      <c r="Q370" s="12" t="s">
        <v>48</v>
      </c>
    </row>
    <row r="371" s="1" customFormat="1" spans="1:17">
      <c r="A371" s="8" t="s">
        <v>695</v>
      </c>
      <c r="B371" s="8" t="s">
        <v>693</v>
      </c>
      <c r="C371" s="8" t="s">
        <v>670</v>
      </c>
      <c r="D371" s="8" t="s">
        <v>45</v>
      </c>
      <c r="E371" s="8" t="s">
        <v>45</v>
      </c>
      <c r="F371" s="8" t="s">
        <v>46</v>
      </c>
      <c r="G371" s="8" t="s">
        <v>34</v>
      </c>
      <c r="H371" s="8" t="s">
        <v>27</v>
      </c>
      <c r="I371" s="8" t="s">
        <v>69</v>
      </c>
      <c r="J371" s="8" t="s">
        <v>84</v>
      </c>
      <c r="K371" s="8" t="s">
        <v>30</v>
      </c>
      <c r="L371" s="8" t="s">
        <v>84</v>
      </c>
      <c r="M371" s="8" t="s">
        <v>46</v>
      </c>
      <c r="N371" s="8" t="s">
        <v>71</v>
      </c>
      <c r="O371" s="1" t="str">
        <f>VLOOKUP(C371,[1]Sheet2!A:C,2,FALSE)</f>
        <v>立充充电宝取机柜-物流服务</v>
      </c>
      <c r="P371" s="1" t="str">
        <f>VLOOKUP(C371,[1]Sheet2!G:H,2,FALSE)</f>
        <v>186****6788</v>
      </c>
      <c r="Q371" s="12" t="s">
        <v>48</v>
      </c>
    </row>
    <row r="372" s="1" customFormat="1" spans="1:17">
      <c r="A372" s="8" t="s">
        <v>696</v>
      </c>
      <c r="B372" s="8" t="s">
        <v>697</v>
      </c>
      <c r="C372" s="8" t="s">
        <v>698</v>
      </c>
      <c r="D372" s="8" t="s">
        <v>601</v>
      </c>
      <c r="E372" s="8" t="s">
        <v>205</v>
      </c>
      <c r="F372" s="8" t="s">
        <v>209</v>
      </c>
      <c r="G372" s="8" t="s">
        <v>26</v>
      </c>
      <c r="H372" s="8" t="s">
        <v>27</v>
      </c>
      <c r="I372" s="8" t="s">
        <v>28</v>
      </c>
      <c r="J372" s="8" t="s">
        <v>95</v>
      </c>
      <c r="K372" s="8" t="s">
        <v>30</v>
      </c>
      <c r="L372" s="8" t="s">
        <v>95</v>
      </c>
      <c r="M372" s="8" t="s">
        <v>699</v>
      </c>
      <c r="N372" s="8" t="s">
        <v>31</v>
      </c>
      <c r="O372" s="1" t="str">
        <f>VLOOKUP(C372,[1]Sheet2!A:C,2,FALSE)</f>
        <v>立充充电宝取机柜-物流服务</v>
      </c>
      <c r="P372" s="1" t="str">
        <f>VLOOKUP(C372,[1]Sheet2!G:H,2,FALSE)</f>
        <v>131****2614</v>
      </c>
      <c r="Q372" s="31" t="s">
        <v>210</v>
      </c>
    </row>
    <row r="373" s="1" customFormat="1" spans="1:17">
      <c r="A373" s="8" t="s">
        <v>700</v>
      </c>
      <c r="B373" s="8" t="s">
        <v>697</v>
      </c>
      <c r="C373" s="8" t="s">
        <v>698</v>
      </c>
      <c r="D373" s="8" t="s">
        <v>601</v>
      </c>
      <c r="E373" s="8" t="s">
        <v>205</v>
      </c>
      <c r="F373" s="8" t="s">
        <v>209</v>
      </c>
      <c r="G373" s="8" t="s">
        <v>34</v>
      </c>
      <c r="H373" s="8" t="s">
        <v>27</v>
      </c>
      <c r="I373" s="8" t="s">
        <v>28</v>
      </c>
      <c r="J373" s="8" t="s">
        <v>35</v>
      </c>
      <c r="K373" s="8" t="s">
        <v>30</v>
      </c>
      <c r="L373" s="8" t="s">
        <v>35</v>
      </c>
      <c r="M373" s="8" t="s">
        <v>699</v>
      </c>
      <c r="N373" s="8" t="s">
        <v>36</v>
      </c>
      <c r="O373" s="1" t="str">
        <f>VLOOKUP(C373,[1]Sheet2!A:C,2,FALSE)</f>
        <v>立充充电宝取机柜-物流服务</v>
      </c>
      <c r="P373" s="1" t="str">
        <f>VLOOKUP(C373,[1]Sheet2!G:H,2,FALSE)</f>
        <v>131****2614</v>
      </c>
      <c r="Q373" s="31" t="s">
        <v>210</v>
      </c>
    </row>
    <row r="374" s="1" customFormat="1" spans="1:17">
      <c r="A374" s="8" t="s">
        <v>701</v>
      </c>
      <c r="B374" s="8" t="s">
        <v>697</v>
      </c>
      <c r="C374" s="8" t="s">
        <v>702</v>
      </c>
      <c r="D374" s="8" t="s">
        <v>601</v>
      </c>
      <c r="E374" s="8" t="s">
        <v>205</v>
      </c>
      <c r="F374" s="8" t="s">
        <v>209</v>
      </c>
      <c r="G374" s="8" t="s">
        <v>371</v>
      </c>
      <c r="H374" s="8" t="s">
        <v>27</v>
      </c>
      <c r="I374" s="8" t="s">
        <v>28</v>
      </c>
      <c r="J374" s="8" t="s">
        <v>372</v>
      </c>
      <c r="K374" s="8" t="s">
        <v>30</v>
      </c>
      <c r="L374" s="8" t="s">
        <v>372</v>
      </c>
      <c r="M374" s="8" t="s">
        <v>699</v>
      </c>
      <c r="N374" s="8" t="s">
        <v>31</v>
      </c>
      <c r="O374" s="1" t="str">
        <f>VLOOKUP(C374,[1]Sheet2!A:C,2,FALSE)</f>
        <v>立充充电宝取机柜-物流服务</v>
      </c>
      <c r="P374" s="1" t="str">
        <f>VLOOKUP(C374,[1]Sheet2!G:H,2,FALSE)</f>
        <v>131****2614</v>
      </c>
      <c r="Q374" s="31" t="s">
        <v>210</v>
      </c>
    </row>
    <row r="375" s="1" customFormat="1" spans="1:17">
      <c r="A375" s="8" t="s">
        <v>703</v>
      </c>
      <c r="B375" s="8" t="s">
        <v>697</v>
      </c>
      <c r="C375" s="8" t="s">
        <v>702</v>
      </c>
      <c r="D375" s="8" t="s">
        <v>601</v>
      </c>
      <c r="E375" s="8" t="s">
        <v>205</v>
      </c>
      <c r="F375" s="8" t="s">
        <v>209</v>
      </c>
      <c r="G375" s="8" t="s">
        <v>34</v>
      </c>
      <c r="H375" s="8" t="s">
        <v>27</v>
      </c>
      <c r="I375" s="8" t="s">
        <v>28</v>
      </c>
      <c r="J375" s="8" t="s">
        <v>70</v>
      </c>
      <c r="K375" s="8" t="s">
        <v>30</v>
      </c>
      <c r="L375" s="8" t="s">
        <v>70</v>
      </c>
      <c r="M375" s="8" t="s">
        <v>699</v>
      </c>
      <c r="N375" s="8" t="s">
        <v>36</v>
      </c>
      <c r="O375" s="1" t="str">
        <f>VLOOKUP(C375,[1]Sheet2!A:C,2,FALSE)</f>
        <v>立充充电宝取机柜-物流服务</v>
      </c>
      <c r="P375" s="1" t="str">
        <f>VLOOKUP(C375,[1]Sheet2!G:H,2,FALSE)</f>
        <v>131****2614</v>
      </c>
      <c r="Q375" s="31" t="s">
        <v>210</v>
      </c>
    </row>
    <row r="376" s="1" customFormat="1" spans="1:17">
      <c r="A376" s="8" t="s">
        <v>704</v>
      </c>
      <c r="B376" s="8" t="s">
        <v>697</v>
      </c>
      <c r="C376" s="8" t="s">
        <v>705</v>
      </c>
      <c r="D376" s="8" t="s">
        <v>601</v>
      </c>
      <c r="E376" s="8" t="s">
        <v>205</v>
      </c>
      <c r="F376" s="8" t="s">
        <v>209</v>
      </c>
      <c r="G376" s="8" t="s">
        <v>26</v>
      </c>
      <c r="H376" s="8" t="s">
        <v>27</v>
      </c>
      <c r="I376" s="8" t="s">
        <v>28</v>
      </c>
      <c r="J376" s="8" t="s">
        <v>95</v>
      </c>
      <c r="K376" s="8" t="s">
        <v>30</v>
      </c>
      <c r="L376" s="8" t="s">
        <v>95</v>
      </c>
      <c r="M376" s="8" t="s">
        <v>699</v>
      </c>
      <c r="N376" s="8" t="s">
        <v>31</v>
      </c>
      <c r="O376" s="1" t="str">
        <f>VLOOKUP(C376,[1]Sheet2!A:C,2,FALSE)</f>
        <v>立充充电宝取机柜-物流服务</v>
      </c>
      <c r="P376" s="1" t="str">
        <f>VLOOKUP(C376,[1]Sheet2!G:H,2,FALSE)</f>
        <v>131****2614</v>
      </c>
      <c r="Q376" s="31" t="s">
        <v>210</v>
      </c>
    </row>
    <row r="377" s="1" customFormat="1" spans="1:17">
      <c r="A377" s="8" t="s">
        <v>706</v>
      </c>
      <c r="B377" s="8" t="s">
        <v>697</v>
      </c>
      <c r="C377" s="8" t="s">
        <v>705</v>
      </c>
      <c r="D377" s="8" t="s">
        <v>601</v>
      </c>
      <c r="E377" s="8" t="s">
        <v>205</v>
      </c>
      <c r="F377" s="8" t="s">
        <v>209</v>
      </c>
      <c r="G377" s="8" t="s">
        <v>34</v>
      </c>
      <c r="H377" s="8" t="s">
        <v>27</v>
      </c>
      <c r="I377" s="8" t="s">
        <v>28</v>
      </c>
      <c r="J377" s="8" t="s">
        <v>35</v>
      </c>
      <c r="K377" s="8" t="s">
        <v>30</v>
      </c>
      <c r="L377" s="8" t="s">
        <v>35</v>
      </c>
      <c r="M377" s="8" t="s">
        <v>699</v>
      </c>
      <c r="N377" s="8" t="s">
        <v>36</v>
      </c>
      <c r="O377" s="1" t="str">
        <f>VLOOKUP(C377,[1]Sheet2!A:C,2,FALSE)</f>
        <v>立充充电宝取机柜-物流服务</v>
      </c>
      <c r="P377" s="1" t="str">
        <f>VLOOKUP(C377,[1]Sheet2!G:H,2,FALSE)</f>
        <v>131****2614</v>
      </c>
      <c r="Q377" s="31" t="s">
        <v>210</v>
      </c>
    </row>
    <row r="378" s="1" customFormat="1" spans="1:17">
      <c r="A378" s="8" t="s">
        <v>707</v>
      </c>
      <c r="B378" s="8" t="s">
        <v>697</v>
      </c>
      <c r="C378" s="8" t="s">
        <v>708</v>
      </c>
      <c r="D378" s="8" t="s">
        <v>76</v>
      </c>
      <c r="E378" s="8" t="s">
        <v>45</v>
      </c>
      <c r="F378" s="8" t="s">
        <v>89</v>
      </c>
      <c r="G378" s="8" t="s">
        <v>26</v>
      </c>
      <c r="H378" s="8" t="s">
        <v>27</v>
      </c>
      <c r="I378" s="8" t="s">
        <v>28</v>
      </c>
      <c r="J378" s="8" t="s">
        <v>29</v>
      </c>
      <c r="K378" s="8" t="s">
        <v>30</v>
      </c>
      <c r="L378" s="8" t="s">
        <v>29</v>
      </c>
      <c r="M378" s="8" t="s">
        <v>90</v>
      </c>
      <c r="N378" s="8" t="s">
        <v>31</v>
      </c>
      <c r="O378" s="1" t="s">
        <v>437</v>
      </c>
      <c r="P378" s="1" t="str">
        <f>VLOOKUP(C378,[1]Sheet2!G:H,2,FALSE)</f>
        <v>130****4667</v>
      </c>
      <c r="Q378" s="31" t="s">
        <v>77</v>
      </c>
    </row>
    <row r="379" s="1" customFormat="1" spans="1:17">
      <c r="A379" s="8" t="s">
        <v>709</v>
      </c>
      <c r="B379" s="8" t="s">
        <v>697</v>
      </c>
      <c r="C379" s="8" t="s">
        <v>708</v>
      </c>
      <c r="D379" s="8" t="s">
        <v>76</v>
      </c>
      <c r="E379" s="8" t="s">
        <v>45</v>
      </c>
      <c r="F379" s="8" t="s">
        <v>89</v>
      </c>
      <c r="G379" s="8" t="s">
        <v>34</v>
      </c>
      <c r="H379" s="8" t="s">
        <v>27</v>
      </c>
      <c r="I379" s="8" t="s">
        <v>28</v>
      </c>
      <c r="J379" s="8" t="s">
        <v>55</v>
      </c>
      <c r="K379" s="8" t="s">
        <v>30</v>
      </c>
      <c r="L379" s="8" t="s">
        <v>55</v>
      </c>
      <c r="M379" s="8" t="s">
        <v>90</v>
      </c>
      <c r="N379" s="8" t="s">
        <v>36</v>
      </c>
      <c r="O379" s="1" t="s">
        <v>437</v>
      </c>
      <c r="P379" s="1" t="str">
        <f>VLOOKUP(C379,[1]Sheet2!G:H,2,FALSE)</f>
        <v>130****4667</v>
      </c>
      <c r="Q379" s="31" t="s">
        <v>77</v>
      </c>
    </row>
    <row r="380" s="1" customFormat="1" spans="1:17">
      <c r="A380" s="8" t="s">
        <v>710</v>
      </c>
      <c r="B380" s="8" t="s">
        <v>697</v>
      </c>
      <c r="C380" s="8" t="s">
        <v>711</v>
      </c>
      <c r="D380" s="8" t="s">
        <v>45</v>
      </c>
      <c r="E380" s="8" t="s">
        <v>45</v>
      </c>
      <c r="F380" s="8" t="s">
        <v>46</v>
      </c>
      <c r="G380" s="8" t="s">
        <v>26</v>
      </c>
      <c r="H380" s="8" t="s">
        <v>27</v>
      </c>
      <c r="I380" s="8" t="s">
        <v>28</v>
      </c>
      <c r="J380" s="8" t="s">
        <v>47</v>
      </c>
      <c r="K380" s="8" t="s">
        <v>30</v>
      </c>
      <c r="L380" s="8" t="s">
        <v>47</v>
      </c>
      <c r="M380" s="8" t="s">
        <v>46</v>
      </c>
      <c r="N380" s="8" t="s">
        <v>31</v>
      </c>
      <c r="O380" s="1" t="str">
        <f>VLOOKUP(C380,[1]Sheet2!A:C,2,FALSE)</f>
        <v>取宝-物流服务</v>
      </c>
      <c r="P380" s="1" t="str">
        <f>VLOOKUP(C380,[1]Sheet2!G:H,2,FALSE)</f>
        <v>186****6788</v>
      </c>
      <c r="Q380" s="12" t="s">
        <v>48</v>
      </c>
    </row>
    <row r="381" s="1" customFormat="1" spans="1:17">
      <c r="A381" s="8" t="s">
        <v>712</v>
      </c>
      <c r="B381" s="8" t="s">
        <v>697</v>
      </c>
      <c r="C381" s="8" t="s">
        <v>711</v>
      </c>
      <c r="D381" s="8" t="s">
        <v>45</v>
      </c>
      <c r="E381" s="8" t="s">
        <v>45</v>
      </c>
      <c r="F381" s="8" t="s">
        <v>46</v>
      </c>
      <c r="G381" s="8" t="s">
        <v>34</v>
      </c>
      <c r="H381" s="8" t="s">
        <v>27</v>
      </c>
      <c r="I381" s="8" t="s">
        <v>28</v>
      </c>
      <c r="J381" s="8" t="s">
        <v>55</v>
      </c>
      <c r="K381" s="8" t="s">
        <v>30</v>
      </c>
      <c r="L381" s="8" t="s">
        <v>55</v>
      </c>
      <c r="M381" s="8" t="s">
        <v>46</v>
      </c>
      <c r="N381" s="8" t="s">
        <v>36</v>
      </c>
      <c r="O381" s="1" t="str">
        <f>VLOOKUP(C381,[1]Sheet2!A:C,2,FALSE)</f>
        <v>取宝-物流服务</v>
      </c>
      <c r="P381" s="1" t="str">
        <f>VLOOKUP(C381,[1]Sheet2!G:H,2,FALSE)</f>
        <v>186****6788</v>
      </c>
      <c r="Q381" s="12" t="s">
        <v>48</v>
      </c>
    </row>
    <row r="382" s="1" customFormat="1" spans="1:17">
      <c r="A382" s="8" t="s">
        <v>713</v>
      </c>
      <c r="B382" s="8" t="s">
        <v>697</v>
      </c>
      <c r="C382" s="8" t="s">
        <v>714</v>
      </c>
      <c r="D382" s="8" t="s">
        <v>715</v>
      </c>
      <c r="E382" s="8" t="s">
        <v>45</v>
      </c>
      <c r="F382" s="8" t="s">
        <v>46</v>
      </c>
      <c r="G382" s="8" t="s">
        <v>186</v>
      </c>
      <c r="H382" s="8" t="s">
        <v>27</v>
      </c>
      <c r="I382" s="8" t="s">
        <v>28</v>
      </c>
      <c r="J382" s="8" t="s">
        <v>192</v>
      </c>
      <c r="K382" s="8" t="s">
        <v>30</v>
      </c>
      <c r="L382" s="8" t="s">
        <v>192</v>
      </c>
      <c r="M382" s="8" t="s">
        <v>46</v>
      </c>
      <c r="N382" s="8" t="s">
        <v>31</v>
      </c>
      <c r="O382" s="1" t="str">
        <f>VLOOKUP(C382,[1]Sheet2!A:C,2,FALSE)</f>
        <v>立充充电宝取机柜-物流服务</v>
      </c>
      <c r="P382" s="1" t="str">
        <f>VLOOKUP(C382,[1]Sheet2!G:H,2,FALSE)</f>
        <v>186****6788</v>
      </c>
      <c r="Q382" s="12" t="s">
        <v>48</v>
      </c>
    </row>
    <row r="383" s="1" customFormat="1" spans="1:17">
      <c r="A383" s="8" t="s">
        <v>716</v>
      </c>
      <c r="B383" s="8" t="s">
        <v>697</v>
      </c>
      <c r="C383" s="8" t="s">
        <v>714</v>
      </c>
      <c r="D383" s="8" t="s">
        <v>715</v>
      </c>
      <c r="E383" s="8" t="s">
        <v>45</v>
      </c>
      <c r="F383" s="8" t="s">
        <v>46</v>
      </c>
      <c r="G383" s="8" t="s">
        <v>34</v>
      </c>
      <c r="H383" s="8" t="s">
        <v>27</v>
      </c>
      <c r="I383" s="8" t="s">
        <v>28</v>
      </c>
      <c r="J383" s="8" t="s">
        <v>189</v>
      </c>
      <c r="K383" s="8" t="s">
        <v>30</v>
      </c>
      <c r="L383" s="8" t="s">
        <v>189</v>
      </c>
      <c r="M383" s="8" t="s">
        <v>46</v>
      </c>
      <c r="N383" s="8" t="s">
        <v>36</v>
      </c>
      <c r="O383" s="1" t="str">
        <f>VLOOKUP(C383,[1]Sheet2!A:C,2,FALSE)</f>
        <v>立充充电宝取机柜-物流服务</v>
      </c>
      <c r="P383" s="1" t="str">
        <f>VLOOKUP(C383,[1]Sheet2!G:H,2,FALSE)</f>
        <v>186****6788</v>
      </c>
      <c r="Q383" s="12" t="s">
        <v>48</v>
      </c>
    </row>
    <row r="384" s="1" customFormat="1" spans="1:17">
      <c r="A384" s="8" t="s">
        <v>717</v>
      </c>
      <c r="B384" s="8" t="s">
        <v>697</v>
      </c>
      <c r="C384" s="8" t="s">
        <v>718</v>
      </c>
      <c r="D384" s="8" t="s">
        <v>715</v>
      </c>
      <c r="E384" s="8" t="s">
        <v>45</v>
      </c>
      <c r="F384" s="8" t="s">
        <v>46</v>
      </c>
      <c r="G384" s="8" t="s">
        <v>26</v>
      </c>
      <c r="H384" s="8" t="s">
        <v>27</v>
      </c>
      <c r="I384" s="8" t="s">
        <v>28</v>
      </c>
      <c r="J384" s="8" t="s">
        <v>29</v>
      </c>
      <c r="K384" s="8" t="s">
        <v>30</v>
      </c>
      <c r="L384" s="8" t="s">
        <v>29</v>
      </c>
      <c r="M384" s="8" t="s">
        <v>46</v>
      </c>
      <c r="N384" s="8" t="s">
        <v>31</v>
      </c>
      <c r="O384" s="1" t="str">
        <f>VLOOKUP(C384,[1]Sheet2!A:C,2,FALSE)</f>
        <v>取宝-物流服务</v>
      </c>
      <c r="P384" s="1" t="str">
        <f>VLOOKUP(C384,[1]Sheet2!G:H,2,FALSE)</f>
        <v>186****6788</v>
      </c>
      <c r="Q384" s="12" t="s">
        <v>48</v>
      </c>
    </row>
    <row r="385" s="1" customFormat="1" spans="1:17">
      <c r="A385" s="8" t="s">
        <v>719</v>
      </c>
      <c r="B385" s="8" t="s">
        <v>697</v>
      </c>
      <c r="C385" s="8" t="s">
        <v>718</v>
      </c>
      <c r="D385" s="8" t="s">
        <v>715</v>
      </c>
      <c r="E385" s="8" t="s">
        <v>45</v>
      </c>
      <c r="F385" s="8" t="s">
        <v>46</v>
      </c>
      <c r="G385" s="8" t="s">
        <v>34</v>
      </c>
      <c r="H385" s="8" t="s">
        <v>27</v>
      </c>
      <c r="I385" s="8" t="s">
        <v>28</v>
      </c>
      <c r="J385" s="8" t="s">
        <v>55</v>
      </c>
      <c r="K385" s="8" t="s">
        <v>30</v>
      </c>
      <c r="L385" s="8" t="s">
        <v>55</v>
      </c>
      <c r="M385" s="8" t="s">
        <v>46</v>
      </c>
      <c r="N385" s="8" t="s">
        <v>36</v>
      </c>
      <c r="O385" s="1" t="str">
        <f>VLOOKUP(C385,[1]Sheet2!A:C,2,FALSE)</f>
        <v>取宝-物流服务</v>
      </c>
      <c r="P385" s="1" t="str">
        <f>VLOOKUP(C385,[1]Sheet2!G:H,2,FALSE)</f>
        <v>186****6788</v>
      </c>
      <c r="Q385" s="12" t="s">
        <v>48</v>
      </c>
    </row>
    <row r="386" s="1" customFormat="1" spans="1:17">
      <c r="A386" s="8" t="s">
        <v>720</v>
      </c>
      <c r="B386" s="8" t="s">
        <v>697</v>
      </c>
      <c r="C386" s="8" t="s">
        <v>721</v>
      </c>
      <c r="D386" s="8" t="s">
        <v>715</v>
      </c>
      <c r="E386" s="8" t="s">
        <v>45</v>
      </c>
      <c r="F386" s="8" t="s">
        <v>46</v>
      </c>
      <c r="G386" s="8" t="s">
        <v>26</v>
      </c>
      <c r="H386" s="8" t="s">
        <v>27</v>
      </c>
      <c r="I386" s="8" t="s">
        <v>28</v>
      </c>
      <c r="J386" s="8" t="s">
        <v>29</v>
      </c>
      <c r="K386" s="8" t="s">
        <v>30</v>
      </c>
      <c r="L386" s="8" t="s">
        <v>29</v>
      </c>
      <c r="M386" s="8" t="s">
        <v>46</v>
      </c>
      <c r="N386" s="8" t="s">
        <v>31</v>
      </c>
      <c r="O386" s="1" t="str">
        <f>VLOOKUP(C386,[1]Sheet2!A:C,2,FALSE)</f>
        <v>取宝-物流服务</v>
      </c>
      <c r="P386" s="1" t="str">
        <f>VLOOKUP(C386,[1]Sheet2!G:H,2,FALSE)</f>
        <v>186****6788</v>
      </c>
      <c r="Q386" s="12" t="s">
        <v>48</v>
      </c>
    </row>
    <row r="387" s="1" customFormat="1" spans="1:17">
      <c r="A387" s="8" t="s">
        <v>722</v>
      </c>
      <c r="B387" s="8" t="s">
        <v>697</v>
      </c>
      <c r="C387" s="8" t="s">
        <v>721</v>
      </c>
      <c r="D387" s="8" t="s">
        <v>715</v>
      </c>
      <c r="E387" s="8" t="s">
        <v>45</v>
      </c>
      <c r="F387" s="8" t="s">
        <v>46</v>
      </c>
      <c r="G387" s="8" t="s">
        <v>34</v>
      </c>
      <c r="H387" s="8" t="s">
        <v>27</v>
      </c>
      <c r="I387" s="8" t="s">
        <v>28</v>
      </c>
      <c r="J387" s="8" t="s">
        <v>55</v>
      </c>
      <c r="K387" s="8" t="s">
        <v>30</v>
      </c>
      <c r="L387" s="8" t="s">
        <v>55</v>
      </c>
      <c r="M387" s="8" t="s">
        <v>46</v>
      </c>
      <c r="N387" s="8" t="s">
        <v>36</v>
      </c>
      <c r="O387" s="1" t="str">
        <f>VLOOKUP(C387,[1]Sheet2!A:C,2,FALSE)</f>
        <v>取宝-物流服务</v>
      </c>
      <c r="P387" s="1" t="str">
        <f>VLOOKUP(C387,[1]Sheet2!G:H,2,FALSE)</f>
        <v>186****6788</v>
      </c>
      <c r="Q387" s="12" t="s">
        <v>48</v>
      </c>
    </row>
    <row r="388" s="1" customFormat="1" spans="1:17">
      <c r="A388" s="8" t="s">
        <v>723</v>
      </c>
      <c r="B388" s="8" t="s">
        <v>697</v>
      </c>
      <c r="C388" s="8" t="s">
        <v>724</v>
      </c>
      <c r="D388" s="8" t="s">
        <v>45</v>
      </c>
      <c r="E388" s="8" t="s">
        <v>45</v>
      </c>
      <c r="F388" s="8" t="s">
        <v>46</v>
      </c>
      <c r="G388" s="8" t="s">
        <v>725</v>
      </c>
      <c r="H388" s="8" t="s">
        <v>27</v>
      </c>
      <c r="I388" s="8" t="s">
        <v>28</v>
      </c>
      <c r="J388" s="8" t="s">
        <v>29</v>
      </c>
      <c r="K388" s="8" t="s">
        <v>30</v>
      </c>
      <c r="L388" s="8" t="s">
        <v>29</v>
      </c>
      <c r="M388" s="8" t="s">
        <v>46</v>
      </c>
      <c r="N388" s="8" t="s">
        <v>31</v>
      </c>
      <c r="O388" s="1" t="str">
        <f>VLOOKUP(C388,[1]Sheet2!A:C,2,FALSE)</f>
        <v>立充充电宝取机柜-物流服务</v>
      </c>
      <c r="P388" s="1" t="str">
        <f>VLOOKUP(C388,[1]Sheet2!G:H,2,FALSE)</f>
        <v>186****6788</v>
      </c>
      <c r="Q388" s="12" t="s">
        <v>48</v>
      </c>
    </row>
    <row r="389" s="1" customFormat="1" spans="1:17">
      <c r="A389" s="8" t="s">
        <v>726</v>
      </c>
      <c r="B389" s="8" t="s">
        <v>697</v>
      </c>
      <c r="C389" s="8" t="s">
        <v>724</v>
      </c>
      <c r="D389" s="8" t="s">
        <v>45</v>
      </c>
      <c r="E389" s="8" t="s">
        <v>45</v>
      </c>
      <c r="F389" s="8" t="s">
        <v>46</v>
      </c>
      <c r="G389" s="8" t="s">
        <v>34</v>
      </c>
      <c r="H389" s="8" t="s">
        <v>27</v>
      </c>
      <c r="I389" s="8" t="s">
        <v>28</v>
      </c>
      <c r="J389" s="8" t="s">
        <v>189</v>
      </c>
      <c r="K389" s="8" t="s">
        <v>30</v>
      </c>
      <c r="L389" s="8" t="s">
        <v>189</v>
      </c>
      <c r="M389" s="8" t="s">
        <v>46</v>
      </c>
      <c r="N389" s="8" t="s">
        <v>36</v>
      </c>
      <c r="O389" s="1" t="str">
        <f>VLOOKUP(C389,[1]Sheet2!A:C,2,FALSE)</f>
        <v>立充充电宝取机柜-物流服务</v>
      </c>
      <c r="P389" s="1" t="str">
        <f>VLOOKUP(C389,[1]Sheet2!G:H,2,FALSE)</f>
        <v>186****6788</v>
      </c>
      <c r="Q389" s="12" t="s">
        <v>48</v>
      </c>
    </row>
    <row r="390" s="1" customFormat="1" spans="1:17">
      <c r="A390" s="8" t="s">
        <v>727</v>
      </c>
      <c r="B390" s="8" t="s">
        <v>697</v>
      </c>
      <c r="C390" s="8" t="s">
        <v>728</v>
      </c>
      <c r="D390" s="8" t="s">
        <v>45</v>
      </c>
      <c r="E390" s="8" t="s">
        <v>45</v>
      </c>
      <c r="F390" s="8" t="s">
        <v>46</v>
      </c>
      <c r="G390" s="8" t="s">
        <v>26</v>
      </c>
      <c r="H390" s="8" t="s">
        <v>27</v>
      </c>
      <c r="I390" s="8" t="s">
        <v>28</v>
      </c>
      <c r="J390" s="8" t="s">
        <v>47</v>
      </c>
      <c r="K390" s="8" t="s">
        <v>30</v>
      </c>
      <c r="L390" s="8" t="s">
        <v>47</v>
      </c>
      <c r="M390" s="8" t="s">
        <v>46</v>
      </c>
      <c r="N390" s="8" t="s">
        <v>31</v>
      </c>
      <c r="O390" s="1" t="str">
        <f>VLOOKUP(C390,[1]Sheet2!A:C,2,FALSE)</f>
        <v>取宝-物流服务</v>
      </c>
      <c r="P390" s="1" t="str">
        <f>VLOOKUP(C390,[1]Sheet2!G:H,2,FALSE)</f>
        <v>186****6788</v>
      </c>
      <c r="Q390" s="12" t="s">
        <v>48</v>
      </c>
    </row>
    <row r="391" s="1" customFormat="1" spans="1:17">
      <c r="A391" s="8" t="s">
        <v>729</v>
      </c>
      <c r="B391" s="8" t="s">
        <v>697</v>
      </c>
      <c r="C391" s="8" t="s">
        <v>728</v>
      </c>
      <c r="D391" s="8" t="s">
        <v>45</v>
      </c>
      <c r="E391" s="8" t="s">
        <v>45</v>
      </c>
      <c r="F391" s="8" t="s">
        <v>46</v>
      </c>
      <c r="G391" s="8" t="s">
        <v>34</v>
      </c>
      <c r="H391" s="8" t="s">
        <v>27</v>
      </c>
      <c r="I391" s="8" t="s">
        <v>28</v>
      </c>
      <c r="J391" s="8" t="s">
        <v>55</v>
      </c>
      <c r="K391" s="8" t="s">
        <v>30</v>
      </c>
      <c r="L391" s="8" t="s">
        <v>55</v>
      </c>
      <c r="M391" s="8" t="s">
        <v>46</v>
      </c>
      <c r="N391" s="8" t="s">
        <v>36</v>
      </c>
      <c r="O391" s="1" t="str">
        <f>VLOOKUP(C391,[1]Sheet2!A:C,2,FALSE)</f>
        <v>取宝-物流服务</v>
      </c>
      <c r="P391" s="1" t="str">
        <f>VLOOKUP(C391,[1]Sheet2!G:H,2,FALSE)</f>
        <v>186****6788</v>
      </c>
      <c r="Q391" s="12" t="s">
        <v>48</v>
      </c>
    </row>
    <row r="392" s="1" customFormat="1" spans="1:17">
      <c r="A392" s="8" t="s">
        <v>730</v>
      </c>
      <c r="B392" s="8" t="s">
        <v>697</v>
      </c>
      <c r="C392" s="8" t="s">
        <v>731</v>
      </c>
      <c r="D392" s="8" t="s">
        <v>76</v>
      </c>
      <c r="E392" s="8" t="s">
        <v>45</v>
      </c>
      <c r="F392" s="8" t="s">
        <v>89</v>
      </c>
      <c r="G392" s="8" t="s">
        <v>186</v>
      </c>
      <c r="H392" s="8" t="s">
        <v>27</v>
      </c>
      <c r="I392" s="8" t="s">
        <v>28</v>
      </c>
      <c r="J392" s="8" t="s">
        <v>192</v>
      </c>
      <c r="K392" s="8" t="s">
        <v>30</v>
      </c>
      <c r="L392" s="8" t="s">
        <v>192</v>
      </c>
      <c r="M392" s="8" t="s">
        <v>90</v>
      </c>
      <c r="N392" s="8" t="s">
        <v>31</v>
      </c>
      <c r="O392" s="1" t="s">
        <v>437</v>
      </c>
      <c r="P392" s="1" t="str">
        <f>VLOOKUP(C392,[1]Sheet2!G:H,2,FALSE)</f>
        <v>130****4667</v>
      </c>
      <c r="Q392" s="31" t="s">
        <v>77</v>
      </c>
    </row>
    <row r="393" s="1" customFormat="1" spans="1:17">
      <c r="A393" s="8" t="s">
        <v>732</v>
      </c>
      <c r="B393" s="8" t="s">
        <v>697</v>
      </c>
      <c r="C393" s="8" t="s">
        <v>731</v>
      </c>
      <c r="D393" s="8" t="s">
        <v>76</v>
      </c>
      <c r="E393" s="8" t="s">
        <v>45</v>
      </c>
      <c r="F393" s="8" t="s">
        <v>89</v>
      </c>
      <c r="G393" s="8" t="s">
        <v>34</v>
      </c>
      <c r="H393" s="8" t="s">
        <v>27</v>
      </c>
      <c r="I393" s="8" t="s">
        <v>28</v>
      </c>
      <c r="J393" s="8" t="s">
        <v>189</v>
      </c>
      <c r="K393" s="8" t="s">
        <v>30</v>
      </c>
      <c r="L393" s="8" t="s">
        <v>189</v>
      </c>
      <c r="M393" s="8" t="s">
        <v>90</v>
      </c>
      <c r="N393" s="8" t="s">
        <v>36</v>
      </c>
      <c r="O393" s="1" t="s">
        <v>437</v>
      </c>
      <c r="P393" s="1" t="str">
        <f>VLOOKUP(C393,[1]Sheet2!G:H,2,FALSE)</f>
        <v>130****4667</v>
      </c>
      <c r="Q393" s="31" t="s">
        <v>77</v>
      </c>
    </row>
    <row r="394" s="1" customFormat="1" spans="1:17">
      <c r="A394" s="8" t="s">
        <v>733</v>
      </c>
      <c r="B394" s="8" t="s">
        <v>697</v>
      </c>
      <c r="C394" s="8" t="s">
        <v>734</v>
      </c>
      <c r="D394" s="8" t="s">
        <v>76</v>
      </c>
      <c r="E394" s="8" t="s">
        <v>45</v>
      </c>
      <c r="F394" s="8" t="s">
        <v>89</v>
      </c>
      <c r="G394" s="8" t="s">
        <v>26</v>
      </c>
      <c r="H394" s="8" t="s">
        <v>27</v>
      </c>
      <c r="I394" s="8" t="s">
        <v>28</v>
      </c>
      <c r="J394" s="8" t="s">
        <v>29</v>
      </c>
      <c r="K394" s="8" t="s">
        <v>30</v>
      </c>
      <c r="L394" s="8" t="s">
        <v>29</v>
      </c>
      <c r="M394" s="8" t="s">
        <v>90</v>
      </c>
      <c r="N394" s="8" t="s">
        <v>31</v>
      </c>
      <c r="O394" s="1" t="s">
        <v>437</v>
      </c>
      <c r="P394" s="1" t="str">
        <f>VLOOKUP(C394,[1]Sheet2!G:H,2,FALSE)</f>
        <v>130****4667</v>
      </c>
      <c r="Q394" s="31" t="s">
        <v>77</v>
      </c>
    </row>
    <row r="395" s="1" customFormat="1" spans="1:17">
      <c r="A395" s="8" t="s">
        <v>735</v>
      </c>
      <c r="B395" s="8" t="s">
        <v>697</v>
      </c>
      <c r="C395" s="8" t="s">
        <v>734</v>
      </c>
      <c r="D395" s="8" t="s">
        <v>76</v>
      </c>
      <c r="E395" s="8" t="s">
        <v>45</v>
      </c>
      <c r="F395" s="8" t="s">
        <v>89</v>
      </c>
      <c r="G395" s="8" t="s">
        <v>34</v>
      </c>
      <c r="H395" s="8" t="s">
        <v>27</v>
      </c>
      <c r="I395" s="8" t="s">
        <v>28</v>
      </c>
      <c r="J395" s="8" t="s">
        <v>55</v>
      </c>
      <c r="K395" s="8" t="s">
        <v>30</v>
      </c>
      <c r="L395" s="8" t="s">
        <v>55</v>
      </c>
      <c r="M395" s="8" t="s">
        <v>90</v>
      </c>
      <c r="N395" s="8" t="s">
        <v>36</v>
      </c>
      <c r="O395" s="1" t="s">
        <v>437</v>
      </c>
      <c r="P395" s="1" t="str">
        <f>VLOOKUP(C395,[1]Sheet2!G:H,2,FALSE)</f>
        <v>130****4667</v>
      </c>
      <c r="Q395" s="31" t="s">
        <v>77</v>
      </c>
    </row>
    <row r="396" s="1" customFormat="1" spans="1:17">
      <c r="A396" s="8" t="s">
        <v>736</v>
      </c>
      <c r="B396" s="8" t="s">
        <v>737</v>
      </c>
      <c r="C396" s="8" t="s">
        <v>698</v>
      </c>
      <c r="D396" s="8" t="s">
        <v>601</v>
      </c>
      <c r="E396" s="8" t="s">
        <v>205</v>
      </c>
      <c r="F396" s="8" t="s">
        <v>209</v>
      </c>
      <c r="G396" s="8" t="s">
        <v>34</v>
      </c>
      <c r="H396" s="8" t="s">
        <v>27</v>
      </c>
      <c r="I396" s="8" t="s">
        <v>69</v>
      </c>
      <c r="J396" s="8" t="s">
        <v>84</v>
      </c>
      <c r="K396" s="8" t="s">
        <v>30</v>
      </c>
      <c r="L396" s="8" t="s">
        <v>84</v>
      </c>
      <c r="M396" s="8" t="s">
        <v>699</v>
      </c>
      <c r="N396" s="8" t="s">
        <v>71</v>
      </c>
      <c r="O396" s="1" t="str">
        <f>VLOOKUP(C396,[1]Sheet2!A:C,2,FALSE)</f>
        <v>立充充电宝取机柜-物流服务</v>
      </c>
      <c r="P396" s="1" t="str">
        <f>VLOOKUP(C396,[1]Sheet2!G:H,2,FALSE)</f>
        <v>131****2614</v>
      </c>
      <c r="Q396" s="31" t="s">
        <v>210</v>
      </c>
    </row>
    <row r="397" s="1" customFormat="1" spans="1:17">
      <c r="A397" s="8" t="s">
        <v>738</v>
      </c>
      <c r="B397" s="8" t="s">
        <v>737</v>
      </c>
      <c r="C397" s="8" t="s">
        <v>702</v>
      </c>
      <c r="D397" s="8" t="s">
        <v>601</v>
      </c>
      <c r="E397" s="8" t="s">
        <v>205</v>
      </c>
      <c r="F397" s="8" t="s">
        <v>209</v>
      </c>
      <c r="G397" s="8" t="s">
        <v>34</v>
      </c>
      <c r="H397" s="8" t="s">
        <v>27</v>
      </c>
      <c r="I397" s="8" t="s">
        <v>69</v>
      </c>
      <c r="J397" s="8" t="s">
        <v>84</v>
      </c>
      <c r="K397" s="8" t="s">
        <v>30</v>
      </c>
      <c r="L397" s="8" t="s">
        <v>84</v>
      </c>
      <c r="M397" s="8" t="s">
        <v>699</v>
      </c>
      <c r="N397" s="8" t="s">
        <v>71</v>
      </c>
      <c r="O397" s="1" t="str">
        <f>VLOOKUP(C397,[1]Sheet2!A:C,2,FALSE)</f>
        <v>立充充电宝取机柜-物流服务</v>
      </c>
      <c r="P397" s="1" t="str">
        <f>VLOOKUP(C397,[1]Sheet2!G:H,2,FALSE)</f>
        <v>131****2614</v>
      </c>
      <c r="Q397" s="31" t="s">
        <v>210</v>
      </c>
    </row>
    <row r="398" s="1" customFormat="1" spans="1:17">
      <c r="A398" s="8" t="s">
        <v>739</v>
      </c>
      <c r="B398" s="8" t="s">
        <v>737</v>
      </c>
      <c r="C398" s="8" t="s">
        <v>705</v>
      </c>
      <c r="D398" s="8" t="s">
        <v>601</v>
      </c>
      <c r="E398" s="8" t="s">
        <v>205</v>
      </c>
      <c r="F398" s="8" t="s">
        <v>209</v>
      </c>
      <c r="G398" s="8" t="s">
        <v>34</v>
      </c>
      <c r="H398" s="8" t="s">
        <v>27</v>
      </c>
      <c r="I398" s="8" t="s">
        <v>69</v>
      </c>
      <c r="J398" s="8" t="s">
        <v>84</v>
      </c>
      <c r="K398" s="8" t="s">
        <v>30</v>
      </c>
      <c r="L398" s="8" t="s">
        <v>84</v>
      </c>
      <c r="M398" s="8" t="s">
        <v>699</v>
      </c>
      <c r="N398" s="8" t="s">
        <v>71</v>
      </c>
      <c r="O398" s="1" t="str">
        <f>VLOOKUP(C398,[1]Sheet2!A:C,2,FALSE)</f>
        <v>立充充电宝取机柜-物流服务</v>
      </c>
      <c r="P398" s="1" t="str">
        <f>VLOOKUP(C398,[1]Sheet2!G:H,2,FALSE)</f>
        <v>131****2614</v>
      </c>
      <c r="Q398" s="31" t="s">
        <v>210</v>
      </c>
    </row>
    <row r="399" s="1" customFormat="1" spans="1:17">
      <c r="A399" s="8" t="s">
        <v>740</v>
      </c>
      <c r="B399" s="8" t="s">
        <v>737</v>
      </c>
      <c r="C399" s="8" t="s">
        <v>711</v>
      </c>
      <c r="D399" s="8" t="s">
        <v>45</v>
      </c>
      <c r="E399" s="8" t="s">
        <v>45</v>
      </c>
      <c r="F399" s="8" t="s">
        <v>46</v>
      </c>
      <c r="G399" s="8" t="s">
        <v>34</v>
      </c>
      <c r="H399" s="8" t="s">
        <v>27</v>
      </c>
      <c r="I399" s="8" t="s">
        <v>69</v>
      </c>
      <c r="J399" s="8" t="s">
        <v>70</v>
      </c>
      <c r="K399" s="8" t="s">
        <v>30</v>
      </c>
      <c r="L399" s="8" t="s">
        <v>70</v>
      </c>
      <c r="M399" s="8" t="s">
        <v>46</v>
      </c>
      <c r="N399" s="8" t="s">
        <v>71</v>
      </c>
      <c r="O399" s="1" t="str">
        <f>VLOOKUP(C399,[1]Sheet2!A:C,2,FALSE)</f>
        <v>取宝-物流服务</v>
      </c>
      <c r="P399" s="1" t="str">
        <f>VLOOKUP(C399,[1]Sheet2!G:H,2,FALSE)</f>
        <v>186****6788</v>
      </c>
      <c r="Q399" s="12" t="s">
        <v>48</v>
      </c>
    </row>
    <row r="400" s="1" customFormat="1" spans="1:17">
      <c r="A400" s="8" t="s">
        <v>741</v>
      </c>
      <c r="B400" s="8" t="s">
        <v>737</v>
      </c>
      <c r="C400" s="8" t="s">
        <v>714</v>
      </c>
      <c r="D400" s="8" t="s">
        <v>715</v>
      </c>
      <c r="E400" s="8" t="s">
        <v>45</v>
      </c>
      <c r="F400" s="8" t="s">
        <v>46</v>
      </c>
      <c r="G400" s="8" t="s">
        <v>34</v>
      </c>
      <c r="H400" s="8" t="s">
        <v>27</v>
      </c>
      <c r="I400" s="8" t="s">
        <v>69</v>
      </c>
      <c r="J400" s="8" t="s">
        <v>84</v>
      </c>
      <c r="K400" s="8" t="s">
        <v>30</v>
      </c>
      <c r="L400" s="8" t="s">
        <v>84</v>
      </c>
      <c r="M400" s="8" t="s">
        <v>46</v>
      </c>
      <c r="N400" s="8" t="s">
        <v>71</v>
      </c>
      <c r="O400" s="1" t="str">
        <f>VLOOKUP(C400,[1]Sheet2!A:C,2,FALSE)</f>
        <v>立充充电宝取机柜-物流服务</v>
      </c>
      <c r="P400" s="1" t="str">
        <f>VLOOKUP(C400,[1]Sheet2!G:H,2,FALSE)</f>
        <v>186****6788</v>
      </c>
      <c r="Q400" s="12" t="s">
        <v>48</v>
      </c>
    </row>
    <row r="401" s="1" customFormat="1" spans="1:17">
      <c r="A401" s="8" t="s">
        <v>742</v>
      </c>
      <c r="B401" s="8" t="s">
        <v>737</v>
      </c>
      <c r="C401" s="8" t="s">
        <v>718</v>
      </c>
      <c r="D401" s="8" t="s">
        <v>715</v>
      </c>
      <c r="E401" s="8" t="s">
        <v>45</v>
      </c>
      <c r="F401" s="8" t="s">
        <v>46</v>
      </c>
      <c r="G401" s="8" t="s">
        <v>34</v>
      </c>
      <c r="H401" s="8" t="s">
        <v>27</v>
      </c>
      <c r="I401" s="8" t="s">
        <v>69</v>
      </c>
      <c r="J401" s="8" t="s">
        <v>70</v>
      </c>
      <c r="K401" s="8" t="s">
        <v>30</v>
      </c>
      <c r="L401" s="8" t="s">
        <v>70</v>
      </c>
      <c r="M401" s="8" t="s">
        <v>46</v>
      </c>
      <c r="N401" s="8" t="s">
        <v>71</v>
      </c>
      <c r="O401" s="1" t="str">
        <f>VLOOKUP(C401,[1]Sheet2!A:C,2,FALSE)</f>
        <v>取宝-物流服务</v>
      </c>
      <c r="P401" s="1" t="str">
        <f>VLOOKUP(C401,[1]Sheet2!G:H,2,FALSE)</f>
        <v>186****6788</v>
      </c>
      <c r="Q401" s="12" t="s">
        <v>48</v>
      </c>
    </row>
    <row r="402" s="1" customFormat="1" spans="1:17">
      <c r="A402" s="8" t="s">
        <v>743</v>
      </c>
      <c r="B402" s="8" t="s">
        <v>737</v>
      </c>
      <c r="C402" s="8" t="s">
        <v>721</v>
      </c>
      <c r="D402" s="8" t="s">
        <v>715</v>
      </c>
      <c r="E402" s="8" t="s">
        <v>45</v>
      </c>
      <c r="F402" s="8" t="s">
        <v>46</v>
      </c>
      <c r="G402" s="8" t="s">
        <v>34</v>
      </c>
      <c r="H402" s="8" t="s">
        <v>27</v>
      </c>
      <c r="I402" s="8" t="s">
        <v>69</v>
      </c>
      <c r="J402" s="8" t="s">
        <v>70</v>
      </c>
      <c r="K402" s="8" t="s">
        <v>30</v>
      </c>
      <c r="L402" s="8" t="s">
        <v>70</v>
      </c>
      <c r="M402" s="8" t="s">
        <v>46</v>
      </c>
      <c r="N402" s="8" t="s">
        <v>71</v>
      </c>
      <c r="O402" s="1" t="str">
        <f>VLOOKUP(C402,[1]Sheet2!A:C,2,FALSE)</f>
        <v>取宝-物流服务</v>
      </c>
      <c r="P402" s="1" t="str">
        <f>VLOOKUP(C402,[1]Sheet2!G:H,2,FALSE)</f>
        <v>186****6788</v>
      </c>
      <c r="Q402" s="12" t="s">
        <v>48</v>
      </c>
    </row>
    <row r="403" s="1" customFormat="1" spans="1:17">
      <c r="A403" s="8" t="s">
        <v>744</v>
      </c>
      <c r="B403" s="8" t="s">
        <v>737</v>
      </c>
      <c r="C403" s="8" t="s">
        <v>724</v>
      </c>
      <c r="D403" s="8" t="s">
        <v>45</v>
      </c>
      <c r="E403" s="8" t="s">
        <v>45</v>
      </c>
      <c r="F403" s="8" t="s">
        <v>46</v>
      </c>
      <c r="G403" s="8" t="s">
        <v>34</v>
      </c>
      <c r="H403" s="8" t="s">
        <v>27</v>
      </c>
      <c r="I403" s="8" t="s">
        <v>69</v>
      </c>
      <c r="J403" s="8" t="s">
        <v>84</v>
      </c>
      <c r="K403" s="8" t="s">
        <v>30</v>
      </c>
      <c r="L403" s="8" t="s">
        <v>84</v>
      </c>
      <c r="M403" s="8" t="s">
        <v>46</v>
      </c>
      <c r="N403" s="8" t="s">
        <v>71</v>
      </c>
      <c r="O403" s="1" t="str">
        <f>VLOOKUP(C403,[1]Sheet2!A:C,2,FALSE)</f>
        <v>立充充电宝取机柜-物流服务</v>
      </c>
      <c r="P403" s="1" t="str">
        <f>VLOOKUP(C403,[1]Sheet2!G:H,2,FALSE)</f>
        <v>186****6788</v>
      </c>
      <c r="Q403" s="12" t="s">
        <v>48</v>
      </c>
    </row>
    <row r="404" s="1" customFormat="1" spans="1:17">
      <c r="A404" s="8" t="s">
        <v>745</v>
      </c>
      <c r="B404" s="8" t="s">
        <v>737</v>
      </c>
      <c r="C404" s="8" t="s">
        <v>728</v>
      </c>
      <c r="D404" s="8" t="s">
        <v>45</v>
      </c>
      <c r="E404" s="8" t="s">
        <v>45</v>
      </c>
      <c r="F404" s="8" t="s">
        <v>46</v>
      </c>
      <c r="G404" s="8" t="s">
        <v>34</v>
      </c>
      <c r="H404" s="8" t="s">
        <v>27</v>
      </c>
      <c r="I404" s="8" t="s">
        <v>69</v>
      </c>
      <c r="J404" s="8" t="s">
        <v>70</v>
      </c>
      <c r="K404" s="8" t="s">
        <v>30</v>
      </c>
      <c r="L404" s="8" t="s">
        <v>70</v>
      </c>
      <c r="M404" s="8" t="s">
        <v>46</v>
      </c>
      <c r="N404" s="8" t="s">
        <v>71</v>
      </c>
      <c r="O404" s="1" t="str">
        <f>VLOOKUP(C404,[1]Sheet2!A:C,2,FALSE)</f>
        <v>取宝-物流服务</v>
      </c>
      <c r="P404" s="1" t="str">
        <f>VLOOKUP(C404,[1]Sheet2!G:H,2,FALSE)</f>
        <v>186****6788</v>
      </c>
      <c r="Q404" s="12" t="s">
        <v>48</v>
      </c>
    </row>
    <row r="405" s="1" customFormat="1" spans="1:17">
      <c r="A405" s="8" t="s">
        <v>746</v>
      </c>
      <c r="B405" s="8" t="s">
        <v>747</v>
      </c>
      <c r="C405" s="8" t="s">
        <v>748</v>
      </c>
      <c r="D405" s="8" t="s">
        <v>45</v>
      </c>
      <c r="E405" s="8" t="s">
        <v>45</v>
      </c>
      <c r="F405" s="8" t="s">
        <v>46</v>
      </c>
      <c r="G405" s="8" t="s">
        <v>26</v>
      </c>
      <c r="H405" s="8" t="s">
        <v>27</v>
      </c>
      <c r="I405" s="8" t="s">
        <v>28</v>
      </c>
      <c r="J405" s="8" t="s">
        <v>47</v>
      </c>
      <c r="K405" s="8" t="s">
        <v>30</v>
      </c>
      <c r="L405" s="8" t="s">
        <v>47</v>
      </c>
      <c r="M405" s="8" t="s">
        <v>46</v>
      </c>
      <c r="N405" s="8" t="s">
        <v>31</v>
      </c>
      <c r="O405" s="1" t="str">
        <f>VLOOKUP(C405,[1]Sheet2!A:C,2,FALSE)</f>
        <v>立充充电宝取机柜-物流服务</v>
      </c>
      <c r="P405" s="1" t="str">
        <f>VLOOKUP(C405,[1]Sheet2!G:H,2,FALSE)</f>
        <v>186****6788</v>
      </c>
      <c r="Q405" s="12" t="s">
        <v>48</v>
      </c>
    </row>
    <row r="406" s="1" customFormat="1" spans="1:17">
      <c r="A406" s="8" t="s">
        <v>749</v>
      </c>
      <c r="B406" s="8" t="s">
        <v>747</v>
      </c>
      <c r="C406" s="8" t="s">
        <v>750</v>
      </c>
      <c r="D406" s="8" t="s">
        <v>45</v>
      </c>
      <c r="E406" s="8" t="s">
        <v>45</v>
      </c>
      <c r="F406" s="8" t="s">
        <v>46</v>
      </c>
      <c r="G406" s="8" t="s">
        <v>186</v>
      </c>
      <c r="H406" s="8" t="s">
        <v>27</v>
      </c>
      <c r="I406" s="8" t="s">
        <v>28</v>
      </c>
      <c r="J406" s="8" t="s">
        <v>29</v>
      </c>
      <c r="K406" s="8" t="s">
        <v>30</v>
      </c>
      <c r="L406" s="8" t="s">
        <v>29</v>
      </c>
      <c r="M406" s="8" t="s">
        <v>46</v>
      </c>
      <c r="N406" s="8" t="s">
        <v>31</v>
      </c>
      <c r="O406" s="1" t="str">
        <f>VLOOKUP(C406,[1]Sheet2!A:C,2,FALSE)</f>
        <v>立充充电宝取机柜-物流服务</v>
      </c>
      <c r="P406" s="1" t="str">
        <f>VLOOKUP(C406,[1]Sheet2!G:H,2,FALSE)</f>
        <v>186****6788</v>
      </c>
      <c r="Q406" s="12" t="s">
        <v>48</v>
      </c>
    </row>
    <row r="407" s="1" customFormat="1" spans="1:17">
      <c r="A407" s="8" t="s">
        <v>751</v>
      </c>
      <c r="B407" s="8" t="s">
        <v>747</v>
      </c>
      <c r="C407" s="8" t="s">
        <v>750</v>
      </c>
      <c r="D407" s="8" t="s">
        <v>45</v>
      </c>
      <c r="E407" s="8" t="s">
        <v>45</v>
      </c>
      <c r="F407" s="8" t="s">
        <v>46</v>
      </c>
      <c r="G407" s="8" t="s">
        <v>34</v>
      </c>
      <c r="H407" s="8" t="s">
        <v>27</v>
      </c>
      <c r="I407" s="8" t="s">
        <v>28</v>
      </c>
      <c r="J407" s="8" t="s">
        <v>42</v>
      </c>
      <c r="K407" s="8" t="s">
        <v>30</v>
      </c>
      <c r="L407" s="8" t="s">
        <v>42</v>
      </c>
      <c r="M407" s="8" t="s">
        <v>46</v>
      </c>
      <c r="N407" s="8" t="s">
        <v>36</v>
      </c>
      <c r="O407" s="1" t="str">
        <f>VLOOKUP(C407,[1]Sheet2!A:C,2,FALSE)</f>
        <v>立充充电宝取机柜-物流服务</v>
      </c>
      <c r="P407" s="1" t="str">
        <f>VLOOKUP(C407,[1]Sheet2!G:H,2,FALSE)</f>
        <v>186****6788</v>
      </c>
      <c r="Q407" s="12" t="s">
        <v>48</v>
      </c>
    </row>
    <row r="408" s="1" customFormat="1" spans="1:17">
      <c r="A408" s="8" t="s">
        <v>752</v>
      </c>
      <c r="B408" s="8" t="s">
        <v>747</v>
      </c>
      <c r="C408" s="8" t="s">
        <v>753</v>
      </c>
      <c r="D408" s="8" t="s">
        <v>45</v>
      </c>
      <c r="E408" s="8" t="s">
        <v>45</v>
      </c>
      <c r="F408" s="8" t="s">
        <v>46</v>
      </c>
      <c r="G408" s="8" t="s">
        <v>26</v>
      </c>
      <c r="H408" s="8" t="s">
        <v>27</v>
      </c>
      <c r="I408" s="8" t="s">
        <v>28</v>
      </c>
      <c r="J408" s="8" t="s">
        <v>47</v>
      </c>
      <c r="K408" s="8" t="s">
        <v>30</v>
      </c>
      <c r="L408" s="8" t="s">
        <v>47</v>
      </c>
      <c r="M408" s="8" t="s">
        <v>46</v>
      </c>
      <c r="N408" s="8" t="s">
        <v>31</v>
      </c>
      <c r="O408" s="1" t="str">
        <f>VLOOKUP(C408,[1]Sheet2!A:C,2,FALSE)</f>
        <v>取宝-物流服务</v>
      </c>
      <c r="P408" s="1" t="str">
        <f>VLOOKUP(C408,[1]Sheet2!G:H,2,FALSE)</f>
        <v>186****6788</v>
      </c>
      <c r="Q408" s="12" t="s">
        <v>48</v>
      </c>
    </row>
    <row r="409" s="1" customFormat="1" spans="1:17">
      <c r="A409" s="8" t="s">
        <v>754</v>
      </c>
      <c r="B409" s="8" t="s">
        <v>747</v>
      </c>
      <c r="C409" s="8" t="s">
        <v>755</v>
      </c>
      <c r="D409" s="8" t="s">
        <v>45</v>
      </c>
      <c r="E409" s="8" t="s">
        <v>45</v>
      </c>
      <c r="F409" s="8" t="s">
        <v>46</v>
      </c>
      <c r="G409" s="8" t="s">
        <v>26</v>
      </c>
      <c r="H409" s="8" t="s">
        <v>27</v>
      </c>
      <c r="I409" s="8" t="s">
        <v>28</v>
      </c>
      <c r="J409" s="8" t="s">
        <v>47</v>
      </c>
      <c r="K409" s="8" t="s">
        <v>30</v>
      </c>
      <c r="L409" s="8" t="s">
        <v>47</v>
      </c>
      <c r="M409" s="8" t="s">
        <v>46</v>
      </c>
      <c r="N409" s="8" t="s">
        <v>31</v>
      </c>
      <c r="O409" s="1" t="str">
        <f>VLOOKUP(C409,[1]Sheet2!A:C,2,FALSE)</f>
        <v>取宝-物流服务</v>
      </c>
      <c r="P409" s="1" t="str">
        <f>VLOOKUP(C409,[1]Sheet2!G:H,2,FALSE)</f>
        <v>186****6788</v>
      </c>
      <c r="Q409" s="12" t="s">
        <v>48</v>
      </c>
    </row>
    <row r="410" s="1" customFormat="1" spans="1:17">
      <c r="A410" s="8" t="s">
        <v>756</v>
      </c>
      <c r="B410" s="8" t="s">
        <v>747</v>
      </c>
      <c r="C410" s="8" t="s">
        <v>755</v>
      </c>
      <c r="D410" s="8" t="s">
        <v>45</v>
      </c>
      <c r="E410" s="8" t="s">
        <v>45</v>
      </c>
      <c r="F410" s="8" t="s">
        <v>46</v>
      </c>
      <c r="G410" s="8" t="s">
        <v>34</v>
      </c>
      <c r="H410" s="8" t="s">
        <v>27</v>
      </c>
      <c r="I410" s="8" t="s">
        <v>28</v>
      </c>
      <c r="J410" s="8" t="s">
        <v>55</v>
      </c>
      <c r="K410" s="8" t="s">
        <v>30</v>
      </c>
      <c r="L410" s="8" t="s">
        <v>55</v>
      </c>
      <c r="M410" s="8" t="s">
        <v>46</v>
      </c>
      <c r="N410" s="8" t="s">
        <v>36</v>
      </c>
      <c r="O410" s="1" t="str">
        <f>VLOOKUP(C410,[1]Sheet2!A:C,2,FALSE)</f>
        <v>取宝-物流服务</v>
      </c>
      <c r="P410" s="1" t="str">
        <f>VLOOKUP(C410,[1]Sheet2!G:H,2,FALSE)</f>
        <v>186****6788</v>
      </c>
      <c r="Q410" s="12" t="s">
        <v>48</v>
      </c>
    </row>
    <row r="411" s="1" customFormat="1" spans="1:17">
      <c r="A411" s="8" t="s">
        <v>757</v>
      </c>
      <c r="B411" s="8" t="s">
        <v>747</v>
      </c>
      <c r="C411" s="8" t="s">
        <v>758</v>
      </c>
      <c r="D411" s="8" t="s">
        <v>45</v>
      </c>
      <c r="E411" s="8" t="s">
        <v>45</v>
      </c>
      <c r="F411" s="8" t="s">
        <v>46</v>
      </c>
      <c r="G411" s="8" t="s">
        <v>759</v>
      </c>
      <c r="H411" s="8" t="s">
        <v>27</v>
      </c>
      <c r="I411" s="8" t="s">
        <v>28</v>
      </c>
      <c r="J411" s="8" t="s">
        <v>192</v>
      </c>
      <c r="K411" s="8" t="s">
        <v>30</v>
      </c>
      <c r="L411" s="8" t="s">
        <v>192</v>
      </c>
      <c r="M411" s="8" t="s">
        <v>46</v>
      </c>
      <c r="N411" s="8" t="s">
        <v>31</v>
      </c>
      <c r="O411" s="1" t="str">
        <f>VLOOKUP(C411,[1]Sheet2!A:C,2,FALSE)</f>
        <v>立充充电宝取机柜-物流服务</v>
      </c>
      <c r="P411" s="1" t="str">
        <f>VLOOKUP(C411,[1]Sheet2!G:H,2,FALSE)</f>
        <v>186****6788</v>
      </c>
      <c r="Q411" s="12" t="s">
        <v>48</v>
      </c>
    </row>
    <row r="412" s="1" customFormat="1" spans="1:17">
      <c r="A412" s="8" t="s">
        <v>760</v>
      </c>
      <c r="B412" s="8" t="s">
        <v>747</v>
      </c>
      <c r="C412" s="8" t="s">
        <v>758</v>
      </c>
      <c r="D412" s="8" t="s">
        <v>45</v>
      </c>
      <c r="E412" s="8" t="s">
        <v>45</v>
      </c>
      <c r="F412" s="8" t="s">
        <v>46</v>
      </c>
      <c r="G412" s="8" t="s">
        <v>34</v>
      </c>
      <c r="H412" s="8" t="s">
        <v>27</v>
      </c>
      <c r="I412" s="8" t="s">
        <v>28</v>
      </c>
      <c r="J412" s="8" t="s">
        <v>70</v>
      </c>
      <c r="K412" s="8" t="s">
        <v>30</v>
      </c>
      <c r="L412" s="8" t="s">
        <v>70</v>
      </c>
      <c r="M412" s="8" t="s">
        <v>46</v>
      </c>
      <c r="N412" s="8" t="s">
        <v>36</v>
      </c>
      <c r="O412" s="1" t="str">
        <f>VLOOKUP(C412,[1]Sheet2!A:C,2,FALSE)</f>
        <v>立充充电宝取机柜-物流服务</v>
      </c>
      <c r="P412" s="1" t="str">
        <f>VLOOKUP(C412,[1]Sheet2!G:H,2,FALSE)</f>
        <v>186****6788</v>
      </c>
      <c r="Q412" s="12" t="s">
        <v>48</v>
      </c>
    </row>
    <row r="413" s="1" customFormat="1" spans="1:17">
      <c r="A413" s="8" t="s">
        <v>761</v>
      </c>
      <c r="B413" s="8" t="s">
        <v>747</v>
      </c>
      <c r="C413" s="8" t="s">
        <v>762</v>
      </c>
      <c r="D413" s="8" t="s">
        <v>45</v>
      </c>
      <c r="E413" s="8" t="s">
        <v>45</v>
      </c>
      <c r="F413" s="8" t="s">
        <v>46</v>
      </c>
      <c r="G413" s="8" t="s">
        <v>763</v>
      </c>
      <c r="H413" s="8" t="s">
        <v>27</v>
      </c>
      <c r="I413" s="8" t="s">
        <v>28</v>
      </c>
      <c r="J413" s="8" t="s">
        <v>764</v>
      </c>
      <c r="K413" s="8" t="s">
        <v>30</v>
      </c>
      <c r="L413" s="8" t="s">
        <v>764</v>
      </c>
      <c r="M413" s="8" t="s">
        <v>46</v>
      </c>
      <c r="N413" s="8" t="s">
        <v>31</v>
      </c>
      <c r="O413" s="1" t="str">
        <f>VLOOKUP(C413,[1]Sheet2!A:C,2,FALSE)</f>
        <v>立充充电宝取机柜-物流服务</v>
      </c>
      <c r="P413" s="1" t="str">
        <f>VLOOKUP(C413,[1]Sheet2!G:H,2,FALSE)</f>
        <v>186****6788</v>
      </c>
      <c r="Q413" s="12" t="s">
        <v>48</v>
      </c>
    </row>
    <row r="414" s="1" customFormat="1" spans="1:17">
      <c r="A414" s="8" t="s">
        <v>765</v>
      </c>
      <c r="B414" s="8" t="s">
        <v>747</v>
      </c>
      <c r="C414" s="8" t="s">
        <v>762</v>
      </c>
      <c r="D414" s="8" t="s">
        <v>45</v>
      </c>
      <c r="E414" s="8" t="s">
        <v>45</v>
      </c>
      <c r="F414" s="8" t="s">
        <v>46</v>
      </c>
      <c r="G414" s="8" t="s">
        <v>34</v>
      </c>
      <c r="H414" s="8" t="s">
        <v>27</v>
      </c>
      <c r="I414" s="8" t="s">
        <v>28</v>
      </c>
      <c r="J414" s="8" t="s">
        <v>113</v>
      </c>
      <c r="K414" s="8" t="s">
        <v>30</v>
      </c>
      <c r="L414" s="8" t="s">
        <v>113</v>
      </c>
      <c r="M414" s="8" t="s">
        <v>46</v>
      </c>
      <c r="N414" s="8" t="s">
        <v>36</v>
      </c>
      <c r="O414" s="1" t="str">
        <f>VLOOKUP(C414,[1]Sheet2!A:C,2,FALSE)</f>
        <v>立充充电宝取机柜-物流服务</v>
      </c>
      <c r="P414" s="1" t="str">
        <f>VLOOKUP(C414,[1]Sheet2!G:H,2,FALSE)</f>
        <v>186****6788</v>
      </c>
      <c r="Q414" s="12" t="s">
        <v>48</v>
      </c>
    </row>
    <row r="415" s="1" customFormat="1" spans="1:17">
      <c r="A415" s="8" t="s">
        <v>766</v>
      </c>
      <c r="B415" s="8" t="s">
        <v>747</v>
      </c>
      <c r="C415" s="8" t="s">
        <v>767</v>
      </c>
      <c r="D415" s="8" t="s">
        <v>137</v>
      </c>
      <c r="E415" s="8" t="s">
        <v>45</v>
      </c>
      <c r="F415" s="8" t="s">
        <v>46</v>
      </c>
      <c r="G415" s="8" t="s">
        <v>26</v>
      </c>
      <c r="H415" s="8" t="s">
        <v>27</v>
      </c>
      <c r="I415" s="8" t="s">
        <v>28</v>
      </c>
      <c r="J415" s="8" t="s">
        <v>113</v>
      </c>
      <c r="K415" s="8" t="s">
        <v>30</v>
      </c>
      <c r="L415" s="8" t="s">
        <v>113</v>
      </c>
      <c r="M415" s="8" t="s">
        <v>46</v>
      </c>
      <c r="N415" s="8" t="s">
        <v>31</v>
      </c>
      <c r="O415" s="1" t="str">
        <f>VLOOKUP(C415,[1]Sheet2!A:C,2,FALSE)</f>
        <v>取宝-物流服务</v>
      </c>
      <c r="P415" s="1" t="str">
        <f>VLOOKUP(C415,[1]Sheet2!G:H,2,FALSE)</f>
        <v>186****6788</v>
      </c>
      <c r="Q415" s="12" t="s">
        <v>48</v>
      </c>
    </row>
    <row r="416" s="1" customFormat="1" spans="1:17">
      <c r="A416" s="8" t="s">
        <v>768</v>
      </c>
      <c r="B416" s="8" t="s">
        <v>747</v>
      </c>
      <c r="C416" s="8" t="s">
        <v>767</v>
      </c>
      <c r="D416" s="8" t="s">
        <v>137</v>
      </c>
      <c r="E416" s="8" t="s">
        <v>45</v>
      </c>
      <c r="F416" s="8" t="s">
        <v>46</v>
      </c>
      <c r="G416" s="8" t="s">
        <v>34</v>
      </c>
      <c r="H416" s="8" t="s">
        <v>27</v>
      </c>
      <c r="I416" s="8" t="s">
        <v>28</v>
      </c>
      <c r="J416" s="8" t="s">
        <v>35</v>
      </c>
      <c r="K416" s="8" t="s">
        <v>30</v>
      </c>
      <c r="L416" s="8" t="s">
        <v>35</v>
      </c>
      <c r="M416" s="8" t="s">
        <v>46</v>
      </c>
      <c r="N416" s="8" t="s">
        <v>36</v>
      </c>
      <c r="O416" s="1" t="str">
        <f>VLOOKUP(C416,[1]Sheet2!A:C,2,FALSE)</f>
        <v>取宝-物流服务</v>
      </c>
      <c r="P416" s="1" t="str">
        <f>VLOOKUP(C416,[1]Sheet2!G:H,2,FALSE)</f>
        <v>186****6788</v>
      </c>
      <c r="Q416" s="12" t="s">
        <v>48</v>
      </c>
    </row>
    <row r="417" s="1" customFormat="1" spans="1:17">
      <c r="A417" s="8" t="s">
        <v>769</v>
      </c>
      <c r="B417" s="8" t="s">
        <v>747</v>
      </c>
      <c r="C417" s="8" t="s">
        <v>770</v>
      </c>
      <c r="D417" s="8" t="s">
        <v>137</v>
      </c>
      <c r="E417" s="8" t="s">
        <v>45</v>
      </c>
      <c r="F417" s="8" t="s">
        <v>46</v>
      </c>
      <c r="G417" s="8" t="s">
        <v>771</v>
      </c>
      <c r="H417" s="8" t="s">
        <v>27</v>
      </c>
      <c r="I417" s="8" t="s">
        <v>28</v>
      </c>
      <c r="J417" s="8" t="s">
        <v>772</v>
      </c>
      <c r="K417" s="8" t="s">
        <v>30</v>
      </c>
      <c r="L417" s="8" t="s">
        <v>772</v>
      </c>
      <c r="M417" s="8" t="s">
        <v>46</v>
      </c>
      <c r="N417" s="8" t="s">
        <v>31</v>
      </c>
      <c r="O417" s="1" t="str">
        <f>VLOOKUP(C417,[1]Sheet2!A:C,2,FALSE)</f>
        <v>立充充电宝取机柜-物流服务</v>
      </c>
      <c r="P417" s="1" t="str">
        <f>VLOOKUP(C417,[1]Sheet2!G:H,2,FALSE)</f>
        <v>186****6788</v>
      </c>
      <c r="Q417" s="12" t="s">
        <v>48</v>
      </c>
    </row>
    <row r="418" s="1" customFormat="1" spans="1:17">
      <c r="A418" s="8" t="s">
        <v>773</v>
      </c>
      <c r="B418" s="8" t="s">
        <v>747</v>
      </c>
      <c r="C418" s="8" t="s">
        <v>770</v>
      </c>
      <c r="D418" s="8" t="s">
        <v>137</v>
      </c>
      <c r="E418" s="8" t="s">
        <v>45</v>
      </c>
      <c r="F418" s="8" t="s">
        <v>46</v>
      </c>
      <c r="G418" s="8" t="s">
        <v>34</v>
      </c>
      <c r="H418" s="8" t="s">
        <v>27</v>
      </c>
      <c r="I418" s="8" t="s">
        <v>28</v>
      </c>
      <c r="J418" s="8" t="s">
        <v>774</v>
      </c>
      <c r="K418" s="8" t="s">
        <v>30</v>
      </c>
      <c r="L418" s="8" t="s">
        <v>774</v>
      </c>
      <c r="M418" s="8" t="s">
        <v>46</v>
      </c>
      <c r="N418" s="8" t="s">
        <v>36</v>
      </c>
      <c r="O418" s="1" t="str">
        <f>VLOOKUP(C418,[1]Sheet2!A:C,2,FALSE)</f>
        <v>立充充电宝取机柜-物流服务</v>
      </c>
      <c r="P418" s="1" t="str">
        <f>VLOOKUP(C418,[1]Sheet2!G:H,2,FALSE)</f>
        <v>186****6788</v>
      </c>
      <c r="Q418" s="12" t="s">
        <v>48</v>
      </c>
    </row>
    <row r="419" s="1" customFormat="1" spans="1:17">
      <c r="A419" s="8" t="s">
        <v>775</v>
      </c>
      <c r="B419" s="8" t="s">
        <v>747</v>
      </c>
      <c r="C419" s="8" t="s">
        <v>776</v>
      </c>
      <c r="D419" s="8" t="s">
        <v>137</v>
      </c>
      <c r="E419" s="8" t="s">
        <v>45</v>
      </c>
      <c r="F419" s="8" t="s">
        <v>46</v>
      </c>
      <c r="G419" s="8" t="s">
        <v>186</v>
      </c>
      <c r="H419" s="8" t="s">
        <v>27</v>
      </c>
      <c r="I419" s="8" t="s">
        <v>28</v>
      </c>
      <c r="J419" s="8" t="s">
        <v>95</v>
      </c>
      <c r="K419" s="8" t="s">
        <v>30</v>
      </c>
      <c r="L419" s="8" t="s">
        <v>95</v>
      </c>
      <c r="M419" s="8" t="s">
        <v>46</v>
      </c>
      <c r="N419" s="8" t="s">
        <v>31</v>
      </c>
      <c r="O419" s="1" t="str">
        <f>VLOOKUP(C419,[1]Sheet2!A:C,2,FALSE)</f>
        <v>立充充电宝取机柜-物流服务</v>
      </c>
      <c r="P419" s="1" t="str">
        <f>VLOOKUP(C419,[1]Sheet2!G:H,2,FALSE)</f>
        <v>186****6788</v>
      </c>
      <c r="Q419" s="12" t="s">
        <v>48</v>
      </c>
    </row>
    <row r="420" s="1" customFormat="1" spans="1:17">
      <c r="A420" s="8" t="s">
        <v>777</v>
      </c>
      <c r="B420" s="8" t="s">
        <v>747</v>
      </c>
      <c r="C420" s="8" t="s">
        <v>776</v>
      </c>
      <c r="D420" s="8" t="s">
        <v>137</v>
      </c>
      <c r="E420" s="8" t="s">
        <v>45</v>
      </c>
      <c r="F420" s="8" t="s">
        <v>46</v>
      </c>
      <c r="G420" s="8" t="s">
        <v>34</v>
      </c>
      <c r="H420" s="8" t="s">
        <v>27</v>
      </c>
      <c r="I420" s="8" t="s">
        <v>28</v>
      </c>
      <c r="J420" s="8" t="s">
        <v>189</v>
      </c>
      <c r="K420" s="8" t="s">
        <v>30</v>
      </c>
      <c r="L420" s="8" t="s">
        <v>189</v>
      </c>
      <c r="M420" s="8" t="s">
        <v>46</v>
      </c>
      <c r="N420" s="8" t="s">
        <v>36</v>
      </c>
      <c r="O420" s="1" t="str">
        <f>VLOOKUP(C420,[1]Sheet2!A:C,2,FALSE)</f>
        <v>立充充电宝取机柜-物流服务</v>
      </c>
      <c r="P420" s="1" t="str">
        <f>VLOOKUP(C420,[1]Sheet2!G:H,2,FALSE)</f>
        <v>186****6788</v>
      </c>
      <c r="Q420" s="12" t="s">
        <v>48</v>
      </c>
    </row>
    <row r="421" s="1" customFormat="1" spans="1:17">
      <c r="A421" s="8" t="s">
        <v>778</v>
      </c>
      <c r="B421" s="8" t="s">
        <v>747</v>
      </c>
      <c r="C421" s="8" t="s">
        <v>779</v>
      </c>
      <c r="D421" s="8" t="s">
        <v>780</v>
      </c>
      <c r="E421" s="8" t="s">
        <v>24</v>
      </c>
      <c r="F421" s="8" t="s">
        <v>153</v>
      </c>
      <c r="G421" s="8" t="s">
        <v>26</v>
      </c>
      <c r="H421" s="8" t="s">
        <v>27</v>
      </c>
      <c r="I421" s="8" t="s">
        <v>28</v>
      </c>
      <c r="J421" s="8" t="s">
        <v>29</v>
      </c>
      <c r="K421" s="8" t="s">
        <v>30</v>
      </c>
      <c r="L421" s="8" t="s">
        <v>29</v>
      </c>
      <c r="M421" s="8" t="s">
        <v>781</v>
      </c>
      <c r="N421" s="8" t="s">
        <v>31</v>
      </c>
      <c r="O421" s="1" t="str">
        <f>VLOOKUP(C421,[1]Sheet2!A:C,2,FALSE)</f>
        <v>立充充电宝取机柜-物流服务</v>
      </c>
      <c r="P421" s="1" t="str">
        <f>VLOOKUP(C421,[1]Sheet2!G:H,2,FALSE)</f>
        <v>134****6101</v>
      </c>
      <c r="Q421" s="31" t="s">
        <v>32</v>
      </c>
    </row>
    <row r="422" s="1" customFormat="1" spans="1:17">
      <c r="A422" s="8" t="s">
        <v>782</v>
      </c>
      <c r="B422" s="8" t="s">
        <v>747</v>
      </c>
      <c r="C422" s="8" t="s">
        <v>779</v>
      </c>
      <c r="D422" s="8" t="s">
        <v>780</v>
      </c>
      <c r="E422" s="8" t="s">
        <v>24</v>
      </c>
      <c r="F422" s="8" t="s">
        <v>153</v>
      </c>
      <c r="G422" s="8" t="s">
        <v>34</v>
      </c>
      <c r="H422" s="8" t="s">
        <v>27</v>
      </c>
      <c r="I422" s="8" t="s">
        <v>28</v>
      </c>
      <c r="J422" s="8" t="s">
        <v>55</v>
      </c>
      <c r="K422" s="8" t="s">
        <v>30</v>
      </c>
      <c r="L422" s="8" t="s">
        <v>55</v>
      </c>
      <c r="M422" s="8" t="s">
        <v>781</v>
      </c>
      <c r="N422" s="8" t="s">
        <v>36</v>
      </c>
      <c r="O422" s="1" t="str">
        <f>VLOOKUP(C422,[1]Sheet2!A:C,2,FALSE)</f>
        <v>立充充电宝取机柜-物流服务</v>
      </c>
      <c r="P422" s="1" t="str">
        <f>VLOOKUP(C422,[1]Sheet2!G:H,2,FALSE)</f>
        <v>134****6101</v>
      </c>
      <c r="Q422" s="31" t="s">
        <v>32</v>
      </c>
    </row>
    <row r="423" s="1" customFormat="1" spans="1:17">
      <c r="A423" s="8" t="s">
        <v>783</v>
      </c>
      <c r="B423" s="8" t="s">
        <v>747</v>
      </c>
      <c r="C423" s="8" t="s">
        <v>784</v>
      </c>
      <c r="D423" s="8" t="s">
        <v>780</v>
      </c>
      <c r="E423" s="8" t="s">
        <v>24</v>
      </c>
      <c r="F423" s="8" t="s">
        <v>153</v>
      </c>
      <c r="G423" s="8" t="s">
        <v>39</v>
      </c>
      <c r="H423" s="8" t="s">
        <v>27</v>
      </c>
      <c r="I423" s="8" t="s">
        <v>28</v>
      </c>
      <c r="J423" s="8" t="s">
        <v>40</v>
      </c>
      <c r="K423" s="8" t="s">
        <v>30</v>
      </c>
      <c r="L423" s="8" t="s">
        <v>40</v>
      </c>
      <c r="M423" s="8" t="s">
        <v>781</v>
      </c>
      <c r="N423" s="8" t="s">
        <v>31</v>
      </c>
      <c r="O423" s="1" t="str">
        <f>VLOOKUP(C423,[1]Sheet2!A:C,2,FALSE)</f>
        <v>立充充电宝取机柜-物流服务</v>
      </c>
      <c r="P423" s="1" t="str">
        <f>VLOOKUP(C423,[1]Sheet2!G:H,2,FALSE)</f>
        <v>134****6101</v>
      </c>
      <c r="Q423" s="31" t="s">
        <v>32</v>
      </c>
    </row>
    <row r="424" s="1" customFormat="1" spans="1:17">
      <c r="A424" s="8" t="s">
        <v>785</v>
      </c>
      <c r="B424" s="8" t="s">
        <v>747</v>
      </c>
      <c r="C424" s="8" t="s">
        <v>784</v>
      </c>
      <c r="D424" s="8" t="s">
        <v>780</v>
      </c>
      <c r="E424" s="8" t="s">
        <v>24</v>
      </c>
      <c r="F424" s="8" t="s">
        <v>153</v>
      </c>
      <c r="G424" s="8" t="s">
        <v>34</v>
      </c>
      <c r="H424" s="8" t="s">
        <v>27</v>
      </c>
      <c r="I424" s="8" t="s">
        <v>28</v>
      </c>
      <c r="J424" s="8" t="s">
        <v>70</v>
      </c>
      <c r="K424" s="8" t="s">
        <v>30</v>
      </c>
      <c r="L424" s="8" t="s">
        <v>70</v>
      </c>
      <c r="M424" s="8" t="s">
        <v>781</v>
      </c>
      <c r="N424" s="8" t="s">
        <v>36</v>
      </c>
      <c r="O424" s="1" t="str">
        <f>VLOOKUP(C424,[1]Sheet2!A:C,2,FALSE)</f>
        <v>立充充电宝取机柜-物流服务</v>
      </c>
      <c r="P424" s="1" t="str">
        <f>VLOOKUP(C424,[1]Sheet2!G:H,2,FALSE)</f>
        <v>134****6101</v>
      </c>
      <c r="Q424" s="31" t="s">
        <v>32</v>
      </c>
    </row>
    <row r="425" s="1" customFormat="1" spans="1:17">
      <c r="A425" s="8" t="s">
        <v>786</v>
      </c>
      <c r="B425" s="8" t="s">
        <v>747</v>
      </c>
      <c r="C425" s="8" t="s">
        <v>787</v>
      </c>
      <c r="D425" s="8" t="s">
        <v>780</v>
      </c>
      <c r="E425" s="8" t="s">
        <v>24</v>
      </c>
      <c r="F425" s="8" t="s">
        <v>153</v>
      </c>
      <c r="G425" s="8" t="s">
        <v>26</v>
      </c>
      <c r="H425" s="8" t="s">
        <v>27</v>
      </c>
      <c r="I425" s="8" t="s">
        <v>28</v>
      </c>
      <c r="J425" s="8" t="s">
        <v>29</v>
      </c>
      <c r="K425" s="8" t="s">
        <v>30</v>
      </c>
      <c r="L425" s="8" t="s">
        <v>29</v>
      </c>
      <c r="M425" s="8" t="s">
        <v>781</v>
      </c>
      <c r="N425" s="8" t="s">
        <v>31</v>
      </c>
      <c r="O425" s="1" t="str">
        <f>VLOOKUP(C425,[1]Sheet2!A:C,2,FALSE)</f>
        <v>立充充电宝取机柜-物流服务</v>
      </c>
      <c r="P425" s="1" t="str">
        <f>VLOOKUP(C425,[1]Sheet2!G:H,2,FALSE)</f>
        <v>134****6101</v>
      </c>
      <c r="Q425" s="31" t="s">
        <v>32</v>
      </c>
    </row>
    <row r="426" s="1" customFormat="1" spans="1:17">
      <c r="A426" s="8" t="s">
        <v>788</v>
      </c>
      <c r="B426" s="8" t="s">
        <v>747</v>
      </c>
      <c r="C426" s="8" t="s">
        <v>787</v>
      </c>
      <c r="D426" s="8" t="s">
        <v>780</v>
      </c>
      <c r="E426" s="8" t="s">
        <v>24</v>
      </c>
      <c r="F426" s="8" t="s">
        <v>153</v>
      </c>
      <c r="G426" s="8" t="s">
        <v>34</v>
      </c>
      <c r="H426" s="8" t="s">
        <v>27</v>
      </c>
      <c r="I426" s="8" t="s">
        <v>28</v>
      </c>
      <c r="J426" s="8" t="s">
        <v>55</v>
      </c>
      <c r="K426" s="8" t="s">
        <v>30</v>
      </c>
      <c r="L426" s="8" t="s">
        <v>55</v>
      </c>
      <c r="M426" s="8" t="s">
        <v>781</v>
      </c>
      <c r="N426" s="8" t="s">
        <v>36</v>
      </c>
      <c r="O426" s="1" t="str">
        <f>VLOOKUP(C426,[1]Sheet2!A:C,2,FALSE)</f>
        <v>立充充电宝取机柜-物流服务</v>
      </c>
      <c r="P426" s="1" t="str">
        <f>VLOOKUP(C426,[1]Sheet2!G:H,2,FALSE)</f>
        <v>134****6101</v>
      </c>
      <c r="Q426" s="31" t="s">
        <v>32</v>
      </c>
    </row>
    <row r="427" s="1" customFormat="1" spans="1:17">
      <c r="A427" s="8" t="s">
        <v>789</v>
      </c>
      <c r="B427" s="8" t="s">
        <v>747</v>
      </c>
      <c r="C427" s="8" t="s">
        <v>790</v>
      </c>
      <c r="D427" s="8" t="s">
        <v>780</v>
      </c>
      <c r="E427" s="8" t="s">
        <v>24</v>
      </c>
      <c r="F427" s="8" t="s">
        <v>153</v>
      </c>
      <c r="G427" s="8" t="s">
        <v>26</v>
      </c>
      <c r="H427" s="8" t="s">
        <v>27</v>
      </c>
      <c r="I427" s="8" t="s">
        <v>28</v>
      </c>
      <c r="J427" s="8" t="s">
        <v>29</v>
      </c>
      <c r="K427" s="8" t="s">
        <v>30</v>
      </c>
      <c r="L427" s="8" t="s">
        <v>29</v>
      </c>
      <c r="M427" s="8" t="s">
        <v>781</v>
      </c>
      <c r="N427" s="8" t="s">
        <v>31</v>
      </c>
      <c r="O427" s="1" t="str">
        <f>VLOOKUP(C427,[1]Sheet2!A:C,2,FALSE)</f>
        <v>立充充电宝取机柜-物流服务</v>
      </c>
      <c r="P427" s="1" t="str">
        <f>VLOOKUP(C427,[1]Sheet2!G:H,2,FALSE)</f>
        <v>134****6101</v>
      </c>
      <c r="Q427" s="31" t="s">
        <v>32</v>
      </c>
    </row>
    <row r="428" s="1" customFormat="1" spans="1:17">
      <c r="A428" s="8" t="s">
        <v>791</v>
      </c>
      <c r="B428" s="8" t="s">
        <v>747</v>
      </c>
      <c r="C428" s="8" t="s">
        <v>790</v>
      </c>
      <c r="D428" s="8" t="s">
        <v>780</v>
      </c>
      <c r="E428" s="8" t="s">
        <v>24</v>
      </c>
      <c r="F428" s="8" t="s">
        <v>153</v>
      </c>
      <c r="G428" s="8" t="s">
        <v>34</v>
      </c>
      <c r="H428" s="8" t="s">
        <v>27</v>
      </c>
      <c r="I428" s="8" t="s">
        <v>28</v>
      </c>
      <c r="J428" s="8" t="s">
        <v>55</v>
      </c>
      <c r="K428" s="8" t="s">
        <v>30</v>
      </c>
      <c r="L428" s="8" t="s">
        <v>55</v>
      </c>
      <c r="M428" s="8" t="s">
        <v>781</v>
      </c>
      <c r="N428" s="8" t="s">
        <v>36</v>
      </c>
      <c r="O428" s="1" t="str">
        <f>VLOOKUP(C428,[1]Sheet2!A:C,2,FALSE)</f>
        <v>立充充电宝取机柜-物流服务</v>
      </c>
      <c r="P428" s="1" t="str">
        <f>VLOOKUP(C428,[1]Sheet2!G:H,2,FALSE)</f>
        <v>134****6101</v>
      </c>
      <c r="Q428" s="31" t="s">
        <v>32</v>
      </c>
    </row>
    <row r="429" s="1" customFormat="1" spans="1:17">
      <c r="A429" s="8" t="s">
        <v>792</v>
      </c>
      <c r="B429" s="8" t="s">
        <v>747</v>
      </c>
      <c r="C429" s="8" t="s">
        <v>793</v>
      </c>
      <c r="D429" s="8" t="s">
        <v>780</v>
      </c>
      <c r="E429" s="8" t="s">
        <v>24</v>
      </c>
      <c r="F429" s="8" t="s">
        <v>153</v>
      </c>
      <c r="G429" s="8" t="s">
        <v>26</v>
      </c>
      <c r="H429" s="8" t="s">
        <v>27</v>
      </c>
      <c r="I429" s="8" t="s">
        <v>28</v>
      </c>
      <c r="J429" s="8" t="s">
        <v>29</v>
      </c>
      <c r="K429" s="8" t="s">
        <v>30</v>
      </c>
      <c r="L429" s="8" t="s">
        <v>29</v>
      </c>
      <c r="M429" s="8" t="s">
        <v>781</v>
      </c>
      <c r="N429" s="8" t="s">
        <v>31</v>
      </c>
      <c r="O429" s="1" t="str">
        <f>VLOOKUP(C429,[1]Sheet2!A:C,2,FALSE)</f>
        <v>立充充电宝取机柜-物流服务</v>
      </c>
      <c r="P429" s="1" t="str">
        <f>VLOOKUP(C429,[1]Sheet2!G:H,2,FALSE)</f>
        <v>134****6101</v>
      </c>
      <c r="Q429" s="31" t="s">
        <v>32</v>
      </c>
    </row>
    <row r="430" s="1" customFormat="1" spans="1:17">
      <c r="A430" s="8" t="s">
        <v>794</v>
      </c>
      <c r="B430" s="8" t="s">
        <v>747</v>
      </c>
      <c r="C430" s="8" t="s">
        <v>795</v>
      </c>
      <c r="D430" s="8" t="s">
        <v>45</v>
      </c>
      <c r="E430" s="8" t="s">
        <v>45</v>
      </c>
      <c r="F430" s="8" t="s">
        <v>46</v>
      </c>
      <c r="G430" s="8" t="s">
        <v>796</v>
      </c>
      <c r="H430" s="8" t="s">
        <v>27</v>
      </c>
      <c r="I430" s="8" t="s">
        <v>28</v>
      </c>
      <c r="J430" s="8" t="s">
        <v>29</v>
      </c>
      <c r="K430" s="8" t="s">
        <v>30</v>
      </c>
      <c r="L430" s="8" t="s">
        <v>29</v>
      </c>
      <c r="M430" s="8" t="s">
        <v>46</v>
      </c>
      <c r="N430" s="8" t="s">
        <v>31</v>
      </c>
      <c r="O430" s="1" t="str">
        <f>VLOOKUP(C430,[1]Sheet2!A:C,2,FALSE)</f>
        <v>立充充电宝取机柜-物流服务</v>
      </c>
      <c r="P430" s="1" t="str">
        <f>VLOOKUP(C430,[1]Sheet2!G:H,2,FALSE)</f>
        <v>186****6788</v>
      </c>
      <c r="Q430" s="12" t="s">
        <v>48</v>
      </c>
    </row>
    <row r="431" s="1" customFormat="1" spans="1:17">
      <c r="A431" s="8" t="s">
        <v>797</v>
      </c>
      <c r="B431" s="8" t="s">
        <v>747</v>
      </c>
      <c r="C431" s="8" t="s">
        <v>795</v>
      </c>
      <c r="D431" s="8" t="s">
        <v>45</v>
      </c>
      <c r="E431" s="8" t="s">
        <v>45</v>
      </c>
      <c r="F431" s="8" t="s">
        <v>46</v>
      </c>
      <c r="G431" s="8" t="s">
        <v>34</v>
      </c>
      <c r="H431" s="8" t="s">
        <v>27</v>
      </c>
      <c r="I431" s="8" t="s">
        <v>28</v>
      </c>
      <c r="J431" s="8" t="s">
        <v>97</v>
      </c>
      <c r="K431" s="8" t="s">
        <v>30</v>
      </c>
      <c r="L431" s="8" t="s">
        <v>97</v>
      </c>
      <c r="M431" s="8" t="s">
        <v>46</v>
      </c>
      <c r="N431" s="8" t="s">
        <v>36</v>
      </c>
      <c r="O431" s="1" t="str">
        <f>VLOOKUP(C431,[1]Sheet2!A:C,2,FALSE)</f>
        <v>立充充电宝取机柜-物流服务</v>
      </c>
      <c r="P431" s="1" t="str">
        <f>VLOOKUP(C431,[1]Sheet2!G:H,2,FALSE)</f>
        <v>186****6788</v>
      </c>
      <c r="Q431" s="12" t="s">
        <v>48</v>
      </c>
    </row>
    <row r="432" s="1" customFormat="1" spans="1:17">
      <c r="A432" s="8" t="s">
        <v>798</v>
      </c>
      <c r="B432" s="8" t="s">
        <v>747</v>
      </c>
      <c r="C432" s="8" t="s">
        <v>799</v>
      </c>
      <c r="D432" s="8" t="s">
        <v>45</v>
      </c>
      <c r="E432" s="8" t="s">
        <v>45</v>
      </c>
      <c r="F432" s="8" t="s">
        <v>46</v>
      </c>
      <c r="G432" s="8" t="s">
        <v>26</v>
      </c>
      <c r="H432" s="8" t="s">
        <v>27</v>
      </c>
      <c r="I432" s="8" t="s">
        <v>28</v>
      </c>
      <c r="J432" s="8" t="s">
        <v>47</v>
      </c>
      <c r="K432" s="8" t="s">
        <v>30</v>
      </c>
      <c r="L432" s="8" t="s">
        <v>47</v>
      </c>
      <c r="M432" s="8" t="s">
        <v>46</v>
      </c>
      <c r="N432" s="8" t="s">
        <v>31</v>
      </c>
      <c r="O432" s="1" t="str">
        <f>VLOOKUP(C432,[1]Sheet2!A:C,2,FALSE)</f>
        <v>取宝-物流服务</v>
      </c>
      <c r="P432" s="1" t="str">
        <f>VLOOKUP(C432,[1]Sheet2!G:H,2,FALSE)</f>
        <v>186****6788</v>
      </c>
      <c r="Q432" s="12" t="s">
        <v>48</v>
      </c>
    </row>
    <row r="433" s="1" customFormat="1" spans="1:17">
      <c r="A433" s="8" t="s">
        <v>800</v>
      </c>
      <c r="B433" s="8" t="s">
        <v>747</v>
      </c>
      <c r="C433" s="8" t="s">
        <v>799</v>
      </c>
      <c r="D433" s="8" t="s">
        <v>45</v>
      </c>
      <c r="E433" s="8" t="s">
        <v>45</v>
      </c>
      <c r="F433" s="8" t="s">
        <v>46</v>
      </c>
      <c r="G433" s="8" t="s">
        <v>34</v>
      </c>
      <c r="H433" s="8" t="s">
        <v>27</v>
      </c>
      <c r="I433" s="8" t="s">
        <v>28</v>
      </c>
      <c r="J433" s="8" t="s">
        <v>35</v>
      </c>
      <c r="K433" s="8" t="s">
        <v>30</v>
      </c>
      <c r="L433" s="8" t="s">
        <v>35</v>
      </c>
      <c r="M433" s="8" t="s">
        <v>46</v>
      </c>
      <c r="N433" s="8" t="s">
        <v>36</v>
      </c>
      <c r="O433" s="1" t="str">
        <f>VLOOKUP(C433,[1]Sheet2!A:C,2,FALSE)</f>
        <v>取宝-物流服务</v>
      </c>
      <c r="P433" s="1" t="str">
        <f>VLOOKUP(C433,[1]Sheet2!G:H,2,FALSE)</f>
        <v>186****6788</v>
      </c>
      <c r="Q433" s="12" t="s">
        <v>48</v>
      </c>
    </row>
    <row r="434" s="1" customFormat="1" spans="1:17">
      <c r="A434" s="8" t="s">
        <v>801</v>
      </c>
      <c r="B434" s="8" t="s">
        <v>747</v>
      </c>
      <c r="C434" s="8" t="s">
        <v>802</v>
      </c>
      <c r="D434" s="8" t="s">
        <v>45</v>
      </c>
      <c r="E434" s="8" t="s">
        <v>45</v>
      </c>
      <c r="F434" s="8" t="s">
        <v>46</v>
      </c>
      <c r="G434" s="8" t="s">
        <v>26</v>
      </c>
      <c r="H434" s="8" t="s">
        <v>27</v>
      </c>
      <c r="I434" s="8" t="s">
        <v>28</v>
      </c>
      <c r="J434" s="8" t="s">
        <v>47</v>
      </c>
      <c r="K434" s="8" t="s">
        <v>30</v>
      </c>
      <c r="L434" s="8" t="s">
        <v>47</v>
      </c>
      <c r="M434" s="8" t="s">
        <v>46</v>
      </c>
      <c r="N434" s="8" t="s">
        <v>31</v>
      </c>
      <c r="O434" s="1" t="str">
        <f>VLOOKUP(C434,[1]Sheet2!A:C,2,FALSE)</f>
        <v>取宝-物流服务</v>
      </c>
      <c r="P434" s="1" t="str">
        <f>VLOOKUP(C434,[1]Sheet2!G:H,2,FALSE)</f>
        <v>186****6788</v>
      </c>
      <c r="Q434" s="12" t="s">
        <v>48</v>
      </c>
    </row>
    <row r="435" s="1" customFormat="1" spans="1:17">
      <c r="A435" s="8" t="s">
        <v>803</v>
      </c>
      <c r="B435" s="8" t="s">
        <v>747</v>
      </c>
      <c r="C435" s="8" t="s">
        <v>802</v>
      </c>
      <c r="D435" s="8" t="s">
        <v>45</v>
      </c>
      <c r="E435" s="8" t="s">
        <v>45</v>
      </c>
      <c r="F435" s="8" t="s">
        <v>46</v>
      </c>
      <c r="G435" s="8" t="s">
        <v>34</v>
      </c>
      <c r="H435" s="8" t="s">
        <v>27</v>
      </c>
      <c r="I435" s="8" t="s">
        <v>28</v>
      </c>
      <c r="J435" s="8" t="s">
        <v>55</v>
      </c>
      <c r="K435" s="8" t="s">
        <v>30</v>
      </c>
      <c r="L435" s="8" t="s">
        <v>55</v>
      </c>
      <c r="M435" s="8" t="s">
        <v>46</v>
      </c>
      <c r="N435" s="8" t="s">
        <v>36</v>
      </c>
      <c r="O435" s="1" t="str">
        <f>VLOOKUP(C435,[1]Sheet2!A:C,2,FALSE)</f>
        <v>取宝-物流服务</v>
      </c>
      <c r="P435" s="1" t="str">
        <f>VLOOKUP(C435,[1]Sheet2!G:H,2,FALSE)</f>
        <v>186****6788</v>
      </c>
      <c r="Q435" s="12" t="s">
        <v>48</v>
      </c>
    </row>
    <row r="436" s="1" customFormat="1" spans="1:17">
      <c r="A436" s="8" t="s">
        <v>804</v>
      </c>
      <c r="B436" s="8" t="s">
        <v>747</v>
      </c>
      <c r="C436" s="8" t="s">
        <v>805</v>
      </c>
      <c r="D436" s="8" t="s">
        <v>780</v>
      </c>
      <c r="E436" s="8" t="s">
        <v>24</v>
      </c>
      <c r="F436" s="8" t="s">
        <v>153</v>
      </c>
      <c r="G436" s="8" t="s">
        <v>39</v>
      </c>
      <c r="H436" s="8" t="s">
        <v>27</v>
      </c>
      <c r="I436" s="8" t="s">
        <v>28</v>
      </c>
      <c r="J436" s="8" t="s">
        <v>40</v>
      </c>
      <c r="K436" s="8" t="s">
        <v>30</v>
      </c>
      <c r="L436" s="8" t="s">
        <v>40</v>
      </c>
      <c r="M436" s="8" t="s">
        <v>781</v>
      </c>
      <c r="N436" s="8" t="s">
        <v>31</v>
      </c>
      <c r="O436" s="1" t="str">
        <f>VLOOKUP(C436,[1]Sheet2!A:C,2,FALSE)</f>
        <v>立充充电宝取机柜-物流服务</v>
      </c>
      <c r="P436" s="1" t="str">
        <f>VLOOKUP(C436,[1]Sheet2!G:H,2,FALSE)</f>
        <v>134****6101</v>
      </c>
      <c r="Q436" s="31" t="s">
        <v>32</v>
      </c>
    </row>
    <row r="437" s="1" customFormat="1" spans="1:17">
      <c r="A437" s="8" t="s">
        <v>806</v>
      </c>
      <c r="B437" s="8" t="s">
        <v>747</v>
      </c>
      <c r="C437" s="8" t="s">
        <v>805</v>
      </c>
      <c r="D437" s="8" t="s">
        <v>780</v>
      </c>
      <c r="E437" s="8" t="s">
        <v>24</v>
      </c>
      <c r="F437" s="8" t="s">
        <v>153</v>
      </c>
      <c r="G437" s="8" t="s">
        <v>34</v>
      </c>
      <c r="H437" s="8" t="s">
        <v>27</v>
      </c>
      <c r="I437" s="8" t="s">
        <v>28</v>
      </c>
      <c r="J437" s="8" t="s">
        <v>189</v>
      </c>
      <c r="K437" s="8" t="s">
        <v>30</v>
      </c>
      <c r="L437" s="8" t="s">
        <v>189</v>
      </c>
      <c r="M437" s="8" t="s">
        <v>781</v>
      </c>
      <c r="N437" s="8" t="s">
        <v>36</v>
      </c>
      <c r="O437" s="1" t="str">
        <f>VLOOKUP(C437,[1]Sheet2!A:C,2,FALSE)</f>
        <v>立充充电宝取机柜-物流服务</v>
      </c>
      <c r="P437" s="1" t="str">
        <f>VLOOKUP(C437,[1]Sheet2!G:H,2,FALSE)</f>
        <v>134****6101</v>
      </c>
      <c r="Q437" s="31" t="s">
        <v>32</v>
      </c>
    </row>
    <row r="438" s="1" customFormat="1" spans="1:17">
      <c r="A438" s="8" t="s">
        <v>807</v>
      </c>
      <c r="B438" s="8" t="s">
        <v>747</v>
      </c>
      <c r="C438" s="8" t="s">
        <v>808</v>
      </c>
      <c r="D438" s="8" t="s">
        <v>780</v>
      </c>
      <c r="E438" s="8" t="s">
        <v>24</v>
      </c>
      <c r="F438" s="8" t="s">
        <v>153</v>
      </c>
      <c r="G438" s="8" t="s">
        <v>26</v>
      </c>
      <c r="H438" s="8" t="s">
        <v>27</v>
      </c>
      <c r="I438" s="8" t="s">
        <v>28</v>
      </c>
      <c r="J438" s="8" t="s">
        <v>29</v>
      </c>
      <c r="K438" s="8" t="s">
        <v>30</v>
      </c>
      <c r="L438" s="8" t="s">
        <v>29</v>
      </c>
      <c r="M438" s="8" t="s">
        <v>781</v>
      </c>
      <c r="N438" s="8" t="s">
        <v>31</v>
      </c>
      <c r="O438" s="1" t="str">
        <f>VLOOKUP(C438,[1]Sheet2!A:C,2,FALSE)</f>
        <v>立充充电宝取机柜-物流服务</v>
      </c>
      <c r="P438" s="1" t="str">
        <f>VLOOKUP(C438,[1]Sheet2!G:H,2,FALSE)</f>
        <v>134****6101</v>
      </c>
      <c r="Q438" s="31" t="s">
        <v>32</v>
      </c>
    </row>
    <row r="439" s="1" customFormat="1" spans="1:17">
      <c r="A439" s="8" t="s">
        <v>809</v>
      </c>
      <c r="B439" s="8" t="s">
        <v>747</v>
      </c>
      <c r="C439" s="8" t="s">
        <v>808</v>
      </c>
      <c r="D439" s="8" t="s">
        <v>780</v>
      </c>
      <c r="E439" s="8" t="s">
        <v>24</v>
      </c>
      <c r="F439" s="8" t="s">
        <v>153</v>
      </c>
      <c r="G439" s="8" t="s">
        <v>34</v>
      </c>
      <c r="H439" s="8" t="s">
        <v>27</v>
      </c>
      <c r="I439" s="8" t="s">
        <v>28</v>
      </c>
      <c r="J439" s="8" t="s">
        <v>55</v>
      </c>
      <c r="K439" s="8" t="s">
        <v>30</v>
      </c>
      <c r="L439" s="8" t="s">
        <v>55</v>
      </c>
      <c r="M439" s="8" t="s">
        <v>781</v>
      </c>
      <c r="N439" s="8" t="s">
        <v>36</v>
      </c>
      <c r="O439" s="1" t="str">
        <f>VLOOKUP(C439,[1]Sheet2!A:C,2,FALSE)</f>
        <v>立充充电宝取机柜-物流服务</v>
      </c>
      <c r="P439" s="1" t="str">
        <f>VLOOKUP(C439,[1]Sheet2!G:H,2,FALSE)</f>
        <v>134****6101</v>
      </c>
      <c r="Q439" s="31" t="s">
        <v>32</v>
      </c>
    </row>
    <row r="440" s="1" customFormat="1" spans="1:17">
      <c r="A440" s="8" t="s">
        <v>810</v>
      </c>
      <c r="B440" s="8" t="s">
        <v>747</v>
      </c>
      <c r="C440" s="8" t="s">
        <v>811</v>
      </c>
      <c r="D440" s="8" t="s">
        <v>780</v>
      </c>
      <c r="E440" s="8" t="s">
        <v>24</v>
      </c>
      <c r="F440" s="8" t="s">
        <v>153</v>
      </c>
      <c r="G440" s="8" t="s">
        <v>26</v>
      </c>
      <c r="H440" s="8" t="s">
        <v>27</v>
      </c>
      <c r="I440" s="8" t="s">
        <v>28</v>
      </c>
      <c r="J440" s="8" t="s">
        <v>29</v>
      </c>
      <c r="K440" s="8" t="s">
        <v>30</v>
      </c>
      <c r="L440" s="8" t="s">
        <v>29</v>
      </c>
      <c r="M440" s="8" t="s">
        <v>781</v>
      </c>
      <c r="N440" s="8" t="s">
        <v>31</v>
      </c>
      <c r="O440" s="1" t="str">
        <f>VLOOKUP(C440,[1]Sheet2!A:C,2,FALSE)</f>
        <v>立充充电宝取机柜-物流服务</v>
      </c>
      <c r="P440" s="1" t="str">
        <f>VLOOKUP(C440,[1]Sheet2!G:H,2,FALSE)</f>
        <v>134****6101</v>
      </c>
      <c r="Q440" s="31" t="s">
        <v>32</v>
      </c>
    </row>
    <row r="441" s="1" customFormat="1" spans="1:17">
      <c r="A441" s="8" t="s">
        <v>812</v>
      </c>
      <c r="B441" s="8" t="s">
        <v>747</v>
      </c>
      <c r="C441" s="8" t="s">
        <v>811</v>
      </c>
      <c r="D441" s="8" t="s">
        <v>780</v>
      </c>
      <c r="E441" s="8" t="s">
        <v>24</v>
      </c>
      <c r="F441" s="8" t="s">
        <v>153</v>
      </c>
      <c r="G441" s="8" t="s">
        <v>34</v>
      </c>
      <c r="H441" s="8" t="s">
        <v>27</v>
      </c>
      <c r="I441" s="8" t="s">
        <v>28</v>
      </c>
      <c r="J441" s="8" t="s">
        <v>55</v>
      </c>
      <c r="K441" s="8" t="s">
        <v>30</v>
      </c>
      <c r="L441" s="8" t="s">
        <v>55</v>
      </c>
      <c r="M441" s="8" t="s">
        <v>781</v>
      </c>
      <c r="N441" s="8" t="s">
        <v>36</v>
      </c>
      <c r="O441" s="1" t="str">
        <f>VLOOKUP(C441,[1]Sheet2!A:C,2,FALSE)</f>
        <v>立充充电宝取机柜-物流服务</v>
      </c>
      <c r="P441" s="1" t="str">
        <f>VLOOKUP(C441,[1]Sheet2!G:H,2,FALSE)</f>
        <v>134****6101</v>
      </c>
      <c r="Q441" s="31" t="s">
        <v>32</v>
      </c>
    </row>
    <row r="442" s="1" customFormat="1" spans="1:17">
      <c r="A442" s="8" t="s">
        <v>813</v>
      </c>
      <c r="B442" s="8" t="s">
        <v>747</v>
      </c>
      <c r="C442" s="8" t="s">
        <v>814</v>
      </c>
      <c r="D442" s="8" t="s">
        <v>45</v>
      </c>
      <c r="E442" s="8" t="s">
        <v>45</v>
      </c>
      <c r="F442" s="8" t="s">
        <v>46</v>
      </c>
      <c r="G442" s="8" t="s">
        <v>26</v>
      </c>
      <c r="H442" s="8" t="s">
        <v>27</v>
      </c>
      <c r="I442" s="8" t="s">
        <v>28</v>
      </c>
      <c r="J442" s="8" t="s">
        <v>47</v>
      </c>
      <c r="K442" s="8" t="s">
        <v>30</v>
      </c>
      <c r="L442" s="8" t="s">
        <v>47</v>
      </c>
      <c r="M442" s="8" t="s">
        <v>46</v>
      </c>
      <c r="N442" s="8" t="s">
        <v>31</v>
      </c>
      <c r="O442" s="1" t="str">
        <f>VLOOKUP(C442,[1]Sheet2!A:C,2,FALSE)</f>
        <v>取宝-物流服务</v>
      </c>
      <c r="P442" s="1" t="str">
        <f>VLOOKUP(C442,[1]Sheet2!G:H,2,FALSE)</f>
        <v>186****6788</v>
      </c>
      <c r="Q442" s="12" t="s">
        <v>48</v>
      </c>
    </row>
    <row r="443" s="1" customFormat="1" spans="1:17">
      <c r="A443" s="8" t="s">
        <v>815</v>
      </c>
      <c r="B443" s="8" t="s">
        <v>747</v>
      </c>
      <c r="C443" s="8" t="s">
        <v>814</v>
      </c>
      <c r="D443" s="8" t="s">
        <v>45</v>
      </c>
      <c r="E443" s="8" t="s">
        <v>45</v>
      </c>
      <c r="F443" s="8" t="s">
        <v>46</v>
      </c>
      <c r="G443" s="8" t="s">
        <v>34</v>
      </c>
      <c r="H443" s="8" t="s">
        <v>27</v>
      </c>
      <c r="I443" s="8" t="s">
        <v>28</v>
      </c>
      <c r="J443" s="8" t="s">
        <v>55</v>
      </c>
      <c r="K443" s="8" t="s">
        <v>30</v>
      </c>
      <c r="L443" s="8" t="s">
        <v>55</v>
      </c>
      <c r="M443" s="8" t="s">
        <v>46</v>
      </c>
      <c r="N443" s="8" t="s">
        <v>36</v>
      </c>
      <c r="O443" s="1" t="str">
        <f>VLOOKUP(C443,[1]Sheet2!A:C,2,FALSE)</f>
        <v>取宝-物流服务</v>
      </c>
      <c r="P443" s="1" t="str">
        <f>VLOOKUP(C443,[1]Sheet2!G:H,2,FALSE)</f>
        <v>186****6788</v>
      </c>
      <c r="Q443" s="12" t="s">
        <v>48</v>
      </c>
    </row>
    <row r="444" s="1" customFormat="1" spans="1:17">
      <c r="A444" s="8" t="s">
        <v>816</v>
      </c>
      <c r="B444" s="8" t="s">
        <v>747</v>
      </c>
      <c r="C444" s="8" t="s">
        <v>817</v>
      </c>
      <c r="D444" s="8" t="s">
        <v>45</v>
      </c>
      <c r="E444" s="8" t="s">
        <v>45</v>
      </c>
      <c r="F444" s="8" t="s">
        <v>46</v>
      </c>
      <c r="G444" s="8" t="s">
        <v>26</v>
      </c>
      <c r="H444" s="8" t="s">
        <v>27</v>
      </c>
      <c r="I444" s="8" t="s">
        <v>28</v>
      </c>
      <c r="J444" s="8" t="s">
        <v>47</v>
      </c>
      <c r="K444" s="8" t="s">
        <v>30</v>
      </c>
      <c r="L444" s="8" t="s">
        <v>47</v>
      </c>
      <c r="M444" s="8" t="s">
        <v>46</v>
      </c>
      <c r="N444" s="8" t="s">
        <v>31</v>
      </c>
      <c r="O444" s="1" t="str">
        <f>VLOOKUP(C444,[1]Sheet2!A:C,2,FALSE)</f>
        <v>取宝-物流服务</v>
      </c>
      <c r="P444" s="1" t="str">
        <f>VLOOKUP(C444,[1]Sheet2!G:H,2,FALSE)</f>
        <v>186****6788</v>
      </c>
      <c r="Q444" s="12" t="s">
        <v>48</v>
      </c>
    </row>
    <row r="445" s="1" customFormat="1" spans="1:17">
      <c r="A445" s="8" t="s">
        <v>818</v>
      </c>
      <c r="B445" s="8" t="s">
        <v>747</v>
      </c>
      <c r="C445" s="8" t="s">
        <v>817</v>
      </c>
      <c r="D445" s="8" t="s">
        <v>45</v>
      </c>
      <c r="E445" s="8" t="s">
        <v>45</v>
      </c>
      <c r="F445" s="8" t="s">
        <v>46</v>
      </c>
      <c r="G445" s="8" t="s">
        <v>34</v>
      </c>
      <c r="H445" s="8" t="s">
        <v>27</v>
      </c>
      <c r="I445" s="8" t="s">
        <v>28</v>
      </c>
      <c r="J445" s="8" t="s">
        <v>55</v>
      </c>
      <c r="K445" s="8" t="s">
        <v>30</v>
      </c>
      <c r="L445" s="8" t="s">
        <v>55</v>
      </c>
      <c r="M445" s="8" t="s">
        <v>46</v>
      </c>
      <c r="N445" s="8" t="s">
        <v>36</v>
      </c>
      <c r="O445" s="1" t="str">
        <f>VLOOKUP(C445,[1]Sheet2!A:C,2,FALSE)</f>
        <v>取宝-物流服务</v>
      </c>
      <c r="P445" s="1" t="str">
        <f>VLOOKUP(C445,[1]Sheet2!G:H,2,FALSE)</f>
        <v>186****6788</v>
      </c>
      <c r="Q445" s="12" t="s">
        <v>48</v>
      </c>
    </row>
    <row r="446" s="1" customFormat="1" spans="1:17">
      <c r="A446" s="8" t="s">
        <v>819</v>
      </c>
      <c r="B446" s="8" t="s">
        <v>747</v>
      </c>
      <c r="C446" s="8" t="s">
        <v>820</v>
      </c>
      <c r="D446" s="8" t="s">
        <v>45</v>
      </c>
      <c r="E446" s="8" t="s">
        <v>45</v>
      </c>
      <c r="F446" s="8" t="s">
        <v>46</v>
      </c>
      <c r="G446" s="8" t="s">
        <v>325</v>
      </c>
      <c r="H446" s="8" t="s">
        <v>27</v>
      </c>
      <c r="I446" s="8" t="s">
        <v>28</v>
      </c>
      <c r="J446" s="8" t="s">
        <v>29</v>
      </c>
      <c r="K446" s="8" t="s">
        <v>30</v>
      </c>
      <c r="L446" s="8" t="s">
        <v>29</v>
      </c>
      <c r="M446" s="8" t="s">
        <v>46</v>
      </c>
      <c r="N446" s="8" t="s">
        <v>31</v>
      </c>
      <c r="O446" s="1" t="str">
        <f>VLOOKUP(C446,[1]Sheet2!A:C,2,FALSE)</f>
        <v>立充充电宝取机柜-物流服务</v>
      </c>
      <c r="P446" s="1" t="str">
        <f>VLOOKUP(C446,[1]Sheet2!G:H,2,FALSE)</f>
        <v>186****6788</v>
      </c>
      <c r="Q446" s="12" t="s">
        <v>48</v>
      </c>
    </row>
    <row r="447" s="1" customFormat="1" spans="1:17">
      <c r="A447" s="8" t="s">
        <v>821</v>
      </c>
      <c r="B447" s="8" t="s">
        <v>747</v>
      </c>
      <c r="C447" s="8" t="s">
        <v>820</v>
      </c>
      <c r="D447" s="8" t="s">
        <v>45</v>
      </c>
      <c r="E447" s="8" t="s">
        <v>45</v>
      </c>
      <c r="F447" s="8" t="s">
        <v>46</v>
      </c>
      <c r="G447" s="8" t="s">
        <v>34</v>
      </c>
      <c r="H447" s="8" t="s">
        <v>27</v>
      </c>
      <c r="I447" s="8" t="s">
        <v>28</v>
      </c>
      <c r="J447" s="8" t="s">
        <v>97</v>
      </c>
      <c r="K447" s="8" t="s">
        <v>30</v>
      </c>
      <c r="L447" s="8" t="s">
        <v>97</v>
      </c>
      <c r="M447" s="8" t="s">
        <v>46</v>
      </c>
      <c r="N447" s="8" t="s">
        <v>36</v>
      </c>
      <c r="O447" s="1" t="str">
        <f>VLOOKUP(C447,[1]Sheet2!A:C,2,FALSE)</f>
        <v>立充充电宝取机柜-物流服务</v>
      </c>
      <c r="P447" s="1" t="str">
        <f>VLOOKUP(C447,[1]Sheet2!G:H,2,FALSE)</f>
        <v>186****6788</v>
      </c>
      <c r="Q447" s="12" t="s">
        <v>48</v>
      </c>
    </row>
    <row r="448" s="1" customFormat="1" spans="1:17">
      <c r="A448" s="8" t="s">
        <v>822</v>
      </c>
      <c r="B448" s="8" t="s">
        <v>747</v>
      </c>
      <c r="C448" s="8" t="s">
        <v>823</v>
      </c>
      <c r="D448" s="8" t="s">
        <v>45</v>
      </c>
      <c r="E448" s="8" t="s">
        <v>45</v>
      </c>
      <c r="F448" s="8" t="s">
        <v>46</v>
      </c>
      <c r="G448" s="8" t="s">
        <v>26</v>
      </c>
      <c r="H448" s="8" t="s">
        <v>27</v>
      </c>
      <c r="I448" s="8" t="s">
        <v>28</v>
      </c>
      <c r="J448" s="8" t="s">
        <v>47</v>
      </c>
      <c r="K448" s="8" t="s">
        <v>30</v>
      </c>
      <c r="L448" s="8" t="s">
        <v>47</v>
      </c>
      <c r="M448" s="8" t="s">
        <v>46</v>
      </c>
      <c r="N448" s="8" t="s">
        <v>31</v>
      </c>
      <c r="O448" s="1" t="str">
        <f>VLOOKUP(C448,[1]Sheet2!A:C,2,FALSE)</f>
        <v>取宝-物流服务</v>
      </c>
      <c r="P448" s="1" t="str">
        <f>VLOOKUP(C448,[1]Sheet2!G:H,2,FALSE)</f>
        <v>186****6788</v>
      </c>
      <c r="Q448" s="12" t="s">
        <v>48</v>
      </c>
    </row>
    <row r="449" s="1" customFormat="1" spans="1:17">
      <c r="A449" s="8" t="s">
        <v>824</v>
      </c>
      <c r="B449" s="8" t="s">
        <v>747</v>
      </c>
      <c r="C449" s="8" t="s">
        <v>823</v>
      </c>
      <c r="D449" s="8" t="s">
        <v>45</v>
      </c>
      <c r="E449" s="8" t="s">
        <v>45</v>
      </c>
      <c r="F449" s="8" t="s">
        <v>46</v>
      </c>
      <c r="G449" s="8" t="s">
        <v>34</v>
      </c>
      <c r="H449" s="8" t="s">
        <v>27</v>
      </c>
      <c r="I449" s="8" t="s">
        <v>28</v>
      </c>
      <c r="J449" s="8" t="s">
        <v>35</v>
      </c>
      <c r="K449" s="8" t="s">
        <v>30</v>
      </c>
      <c r="L449" s="8" t="s">
        <v>35</v>
      </c>
      <c r="M449" s="8" t="s">
        <v>46</v>
      </c>
      <c r="N449" s="8" t="s">
        <v>36</v>
      </c>
      <c r="O449" s="1" t="str">
        <f>VLOOKUP(C449,[1]Sheet2!A:C,2,FALSE)</f>
        <v>取宝-物流服务</v>
      </c>
      <c r="P449" s="1" t="str">
        <f>VLOOKUP(C449,[1]Sheet2!G:H,2,FALSE)</f>
        <v>186****6788</v>
      </c>
      <c r="Q449" s="12" t="s">
        <v>48</v>
      </c>
    </row>
    <row r="450" s="1" customFormat="1" spans="1:17">
      <c r="A450" s="8" t="s">
        <v>825</v>
      </c>
      <c r="B450" s="8" t="s">
        <v>826</v>
      </c>
      <c r="C450" s="8" t="s">
        <v>827</v>
      </c>
      <c r="D450" s="8" t="s">
        <v>674</v>
      </c>
      <c r="E450" s="8" t="s">
        <v>674</v>
      </c>
      <c r="F450" s="8" t="s">
        <v>828</v>
      </c>
      <c r="G450" s="8" t="s">
        <v>26</v>
      </c>
      <c r="H450" s="8" t="s">
        <v>27</v>
      </c>
      <c r="I450" s="8" t="s">
        <v>28</v>
      </c>
      <c r="J450" s="8" t="s">
        <v>113</v>
      </c>
      <c r="K450" s="8" t="s">
        <v>30</v>
      </c>
      <c r="L450" s="8" t="s">
        <v>113</v>
      </c>
      <c r="M450" s="8" t="s">
        <v>829</v>
      </c>
      <c r="N450" s="8" t="s">
        <v>31</v>
      </c>
      <c r="O450" s="1" t="str">
        <f>VLOOKUP(C450,[1]Sheet2!A:C,2,FALSE)</f>
        <v>取宝-仅物流</v>
      </c>
      <c r="P450" s="1" t="str">
        <f>VLOOKUP(C450,[1]Sheet2!G:H,2,FALSE)</f>
        <v>165****7666</v>
      </c>
      <c r="Q450" s="31" t="s">
        <v>318</v>
      </c>
    </row>
    <row r="451" s="1" customFormat="1" spans="1:17">
      <c r="A451" s="8" t="s">
        <v>830</v>
      </c>
      <c r="B451" s="8" t="s">
        <v>826</v>
      </c>
      <c r="C451" s="8" t="s">
        <v>827</v>
      </c>
      <c r="D451" s="8" t="s">
        <v>674</v>
      </c>
      <c r="E451" s="8" t="s">
        <v>674</v>
      </c>
      <c r="F451" s="8" t="s">
        <v>828</v>
      </c>
      <c r="G451" s="8" t="s">
        <v>34</v>
      </c>
      <c r="H451" s="8" t="s">
        <v>27</v>
      </c>
      <c r="I451" s="8" t="s">
        <v>28</v>
      </c>
      <c r="J451" s="8" t="s">
        <v>55</v>
      </c>
      <c r="K451" s="8" t="s">
        <v>30</v>
      </c>
      <c r="L451" s="8" t="s">
        <v>55</v>
      </c>
      <c r="M451" s="8" t="s">
        <v>829</v>
      </c>
      <c r="N451" s="8" t="s">
        <v>36</v>
      </c>
      <c r="O451" s="1" t="str">
        <f>VLOOKUP(C451,[1]Sheet2!A:C,2,FALSE)</f>
        <v>取宝-仅物流</v>
      </c>
      <c r="P451" s="1" t="str">
        <f>VLOOKUP(C451,[1]Sheet2!G:H,2,FALSE)</f>
        <v>165****7666</v>
      </c>
      <c r="Q451" s="31" t="s">
        <v>318</v>
      </c>
    </row>
    <row r="452" s="1" customFormat="1" spans="1:17">
      <c r="A452" s="8" t="s">
        <v>831</v>
      </c>
      <c r="B452" s="8" t="s">
        <v>826</v>
      </c>
      <c r="C452" s="8" t="s">
        <v>748</v>
      </c>
      <c r="D452" s="8" t="s">
        <v>45</v>
      </c>
      <c r="E452" s="8" t="s">
        <v>45</v>
      </c>
      <c r="F452" s="8" t="s">
        <v>46</v>
      </c>
      <c r="G452" s="8" t="s">
        <v>34</v>
      </c>
      <c r="H452" s="8" t="s">
        <v>27</v>
      </c>
      <c r="I452" s="8" t="s">
        <v>69</v>
      </c>
      <c r="J452" s="8" t="s">
        <v>84</v>
      </c>
      <c r="K452" s="8" t="s">
        <v>30</v>
      </c>
      <c r="L452" s="8" t="s">
        <v>84</v>
      </c>
      <c r="M452" s="8" t="s">
        <v>46</v>
      </c>
      <c r="N452" s="8" t="s">
        <v>71</v>
      </c>
      <c r="O452" s="1" t="str">
        <f>VLOOKUP(C452,[1]Sheet2!A:C,2,FALSE)</f>
        <v>立充充电宝取机柜-物流服务</v>
      </c>
      <c r="P452" s="1" t="str">
        <f>VLOOKUP(C452,[1]Sheet2!G:H,2,FALSE)</f>
        <v>186****6788</v>
      </c>
      <c r="Q452" s="12" t="s">
        <v>48</v>
      </c>
    </row>
    <row r="453" s="1" customFormat="1" spans="1:17">
      <c r="A453" s="8" t="s">
        <v>832</v>
      </c>
      <c r="B453" s="8" t="s">
        <v>826</v>
      </c>
      <c r="C453" s="8" t="s">
        <v>750</v>
      </c>
      <c r="D453" s="8" t="s">
        <v>45</v>
      </c>
      <c r="E453" s="8" t="s">
        <v>45</v>
      </c>
      <c r="F453" s="8" t="s">
        <v>46</v>
      </c>
      <c r="G453" s="8" t="s">
        <v>34</v>
      </c>
      <c r="H453" s="8" t="s">
        <v>27</v>
      </c>
      <c r="I453" s="8" t="s">
        <v>69</v>
      </c>
      <c r="J453" s="8" t="s">
        <v>84</v>
      </c>
      <c r="K453" s="8" t="s">
        <v>30</v>
      </c>
      <c r="L453" s="8" t="s">
        <v>84</v>
      </c>
      <c r="M453" s="8" t="s">
        <v>46</v>
      </c>
      <c r="N453" s="8" t="s">
        <v>71</v>
      </c>
      <c r="O453" s="1" t="str">
        <f>VLOOKUP(C453,[1]Sheet2!A:C,2,FALSE)</f>
        <v>立充充电宝取机柜-物流服务</v>
      </c>
      <c r="P453" s="1" t="str">
        <f>VLOOKUP(C453,[1]Sheet2!G:H,2,FALSE)</f>
        <v>186****6788</v>
      </c>
      <c r="Q453" s="12" t="s">
        <v>48</v>
      </c>
    </row>
    <row r="454" s="1" customFormat="1" spans="1:17">
      <c r="A454" s="8" t="s">
        <v>833</v>
      </c>
      <c r="B454" s="8" t="s">
        <v>826</v>
      </c>
      <c r="C454" s="8" t="s">
        <v>753</v>
      </c>
      <c r="D454" s="8" t="s">
        <v>45</v>
      </c>
      <c r="E454" s="8" t="s">
        <v>45</v>
      </c>
      <c r="F454" s="8" t="s">
        <v>46</v>
      </c>
      <c r="G454" s="8" t="s">
        <v>34</v>
      </c>
      <c r="H454" s="8" t="s">
        <v>27</v>
      </c>
      <c r="I454" s="8" t="s">
        <v>69</v>
      </c>
      <c r="J454" s="8" t="s">
        <v>70</v>
      </c>
      <c r="K454" s="8" t="s">
        <v>30</v>
      </c>
      <c r="L454" s="8" t="s">
        <v>70</v>
      </c>
      <c r="M454" s="8" t="s">
        <v>46</v>
      </c>
      <c r="N454" s="8" t="s">
        <v>71</v>
      </c>
      <c r="O454" s="1" t="str">
        <f>VLOOKUP(C454,[1]Sheet2!A:C,2,FALSE)</f>
        <v>取宝-物流服务</v>
      </c>
      <c r="P454" s="1" t="str">
        <f>VLOOKUP(C454,[1]Sheet2!G:H,2,FALSE)</f>
        <v>186****6788</v>
      </c>
      <c r="Q454" s="12" t="s">
        <v>48</v>
      </c>
    </row>
    <row r="455" s="1" customFormat="1" spans="1:17">
      <c r="A455" s="8" t="s">
        <v>834</v>
      </c>
      <c r="B455" s="8" t="s">
        <v>826</v>
      </c>
      <c r="C455" s="8" t="s">
        <v>755</v>
      </c>
      <c r="D455" s="8" t="s">
        <v>45</v>
      </c>
      <c r="E455" s="8" t="s">
        <v>45</v>
      </c>
      <c r="F455" s="8" t="s">
        <v>46</v>
      </c>
      <c r="G455" s="8" t="s">
        <v>34</v>
      </c>
      <c r="H455" s="8" t="s">
        <v>27</v>
      </c>
      <c r="I455" s="8" t="s">
        <v>69</v>
      </c>
      <c r="J455" s="8" t="s">
        <v>70</v>
      </c>
      <c r="K455" s="8" t="s">
        <v>30</v>
      </c>
      <c r="L455" s="8" t="s">
        <v>70</v>
      </c>
      <c r="M455" s="8" t="s">
        <v>46</v>
      </c>
      <c r="N455" s="8" t="s">
        <v>71</v>
      </c>
      <c r="O455" s="1" t="str">
        <f>VLOOKUP(C455,[1]Sheet2!A:C,2,FALSE)</f>
        <v>取宝-物流服务</v>
      </c>
      <c r="P455" s="1" t="str">
        <f>VLOOKUP(C455,[1]Sheet2!G:H,2,FALSE)</f>
        <v>186****6788</v>
      </c>
      <c r="Q455" s="12" t="s">
        <v>48</v>
      </c>
    </row>
    <row r="456" s="1" customFormat="1" spans="1:17">
      <c r="A456" s="8" t="s">
        <v>835</v>
      </c>
      <c r="B456" s="8" t="s">
        <v>826</v>
      </c>
      <c r="C456" s="8" t="s">
        <v>758</v>
      </c>
      <c r="D456" s="8" t="s">
        <v>45</v>
      </c>
      <c r="E456" s="8" t="s">
        <v>45</v>
      </c>
      <c r="F456" s="8" t="s">
        <v>46</v>
      </c>
      <c r="G456" s="8" t="s">
        <v>34</v>
      </c>
      <c r="H456" s="8" t="s">
        <v>27</v>
      </c>
      <c r="I456" s="8" t="s">
        <v>69</v>
      </c>
      <c r="J456" s="8" t="s">
        <v>84</v>
      </c>
      <c r="K456" s="8" t="s">
        <v>30</v>
      </c>
      <c r="L456" s="8" t="s">
        <v>84</v>
      </c>
      <c r="M456" s="8" t="s">
        <v>46</v>
      </c>
      <c r="N456" s="8" t="s">
        <v>71</v>
      </c>
      <c r="O456" s="1" t="str">
        <f>VLOOKUP(C456,[1]Sheet2!A:C,2,FALSE)</f>
        <v>立充充电宝取机柜-物流服务</v>
      </c>
      <c r="P456" s="1" t="str">
        <f>VLOOKUP(C456,[1]Sheet2!G:H,2,FALSE)</f>
        <v>186****6788</v>
      </c>
      <c r="Q456" s="12" t="s">
        <v>48</v>
      </c>
    </row>
    <row r="457" s="1" customFormat="1" spans="1:17">
      <c r="A457" s="8" t="s">
        <v>836</v>
      </c>
      <c r="B457" s="8" t="s">
        <v>826</v>
      </c>
      <c r="C457" s="8" t="s">
        <v>762</v>
      </c>
      <c r="D457" s="8" t="s">
        <v>45</v>
      </c>
      <c r="E457" s="8" t="s">
        <v>45</v>
      </c>
      <c r="F457" s="8" t="s">
        <v>46</v>
      </c>
      <c r="G457" s="8" t="s">
        <v>34</v>
      </c>
      <c r="H457" s="8" t="s">
        <v>27</v>
      </c>
      <c r="I457" s="8" t="s">
        <v>69</v>
      </c>
      <c r="J457" s="8" t="s">
        <v>84</v>
      </c>
      <c r="K457" s="8" t="s">
        <v>30</v>
      </c>
      <c r="L457" s="8" t="s">
        <v>84</v>
      </c>
      <c r="M457" s="8" t="s">
        <v>46</v>
      </c>
      <c r="N457" s="8" t="s">
        <v>71</v>
      </c>
      <c r="O457" s="1" t="str">
        <f>VLOOKUP(C457,[1]Sheet2!A:C,2,FALSE)</f>
        <v>立充充电宝取机柜-物流服务</v>
      </c>
      <c r="P457" s="1" t="str">
        <f>VLOOKUP(C457,[1]Sheet2!G:H,2,FALSE)</f>
        <v>186****6788</v>
      </c>
      <c r="Q457" s="12" t="s">
        <v>48</v>
      </c>
    </row>
    <row r="458" s="1" customFormat="1" spans="1:17">
      <c r="A458" s="8" t="s">
        <v>837</v>
      </c>
      <c r="B458" s="8" t="s">
        <v>826</v>
      </c>
      <c r="C458" s="8" t="s">
        <v>770</v>
      </c>
      <c r="D458" s="8" t="s">
        <v>137</v>
      </c>
      <c r="E458" s="8" t="s">
        <v>45</v>
      </c>
      <c r="F458" s="8" t="s">
        <v>46</v>
      </c>
      <c r="G458" s="8" t="s">
        <v>34</v>
      </c>
      <c r="H458" s="8" t="s">
        <v>27</v>
      </c>
      <c r="I458" s="8" t="s">
        <v>69</v>
      </c>
      <c r="J458" s="8" t="s">
        <v>84</v>
      </c>
      <c r="K458" s="8" t="s">
        <v>30</v>
      </c>
      <c r="L458" s="8" t="s">
        <v>84</v>
      </c>
      <c r="M458" s="8" t="s">
        <v>46</v>
      </c>
      <c r="N458" s="8" t="s">
        <v>71</v>
      </c>
      <c r="O458" s="1" t="str">
        <f>VLOOKUP(C458,[1]Sheet2!A:C,2,FALSE)</f>
        <v>立充充电宝取机柜-物流服务</v>
      </c>
      <c r="P458" s="1" t="str">
        <f>VLOOKUP(C458,[1]Sheet2!G:H,2,FALSE)</f>
        <v>186****6788</v>
      </c>
      <c r="Q458" s="12" t="s">
        <v>48</v>
      </c>
    </row>
    <row r="459" s="1" customFormat="1" spans="1:17">
      <c r="A459" s="8" t="s">
        <v>838</v>
      </c>
      <c r="B459" s="8" t="s">
        <v>826</v>
      </c>
      <c r="C459" s="8" t="s">
        <v>779</v>
      </c>
      <c r="D459" s="8" t="s">
        <v>780</v>
      </c>
      <c r="E459" s="8" t="s">
        <v>24</v>
      </c>
      <c r="F459" s="8" t="s">
        <v>153</v>
      </c>
      <c r="G459" s="8" t="s">
        <v>34</v>
      </c>
      <c r="H459" s="8" t="s">
        <v>27</v>
      </c>
      <c r="I459" s="8" t="s">
        <v>69</v>
      </c>
      <c r="J459" s="8" t="s">
        <v>84</v>
      </c>
      <c r="K459" s="8" t="s">
        <v>30</v>
      </c>
      <c r="L459" s="8" t="s">
        <v>84</v>
      </c>
      <c r="M459" s="8" t="s">
        <v>781</v>
      </c>
      <c r="N459" s="8" t="s">
        <v>71</v>
      </c>
      <c r="O459" s="1" t="str">
        <f>VLOOKUP(C459,[1]Sheet2!A:C,2,FALSE)</f>
        <v>立充充电宝取机柜-物流服务</v>
      </c>
      <c r="P459" s="1" t="str">
        <f>VLOOKUP(C459,[1]Sheet2!G:H,2,FALSE)</f>
        <v>134****6101</v>
      </c>
      <c r="Q459" s="31" t="s">
        <v>32</v>
      </c>
    </row>
    <row r="460" s="1" customFormat="1" spans="1:17">
      <c r="A460" s="8" t="s">
        <v>839</v>
      </c>
      <c r="B460" s="8" t="s">
        <v>826</v>
      </c>
      <c r="C460" s="8" t="s">
        <v>784</v>
      </c>
      <c r="D460" s="8" t="s">
        <v>780</v>
      </c>
      <c r="E460" s="8" t="s">
        <v>24</v>
      </c>
      <c r="F460" s="8" t="s">
        <v>153</v>
      </c>
      <c r="G460" s="8" t="s">
        <v>34</v>
      </c>
      <c r="H460" s="8" t="s">
        <v>27</v>
      </c>
      <c r="I460" s="8" t="s">
        <v>69</v>
      </c>
      <c r="J460" s="8" t="s">
        <v>84</v>
      </c>
      <c r="K460" s="8" t="s">
        <v>30</v>
      </c>
      <c r="L460" s="8" t="s">
        <v>84</v>
      </c>
      <c r="M460" s="8" t="s">
        <v>781</v>
      </c>
      <c r="N460" s="8" t="s">
        <v>71</v>
      </c>
      <c r="O460" s="1" t="str">
        <f>VLOOKUP(C460,[1]Sheet2!A:C,2,FALSE)</f>
        <v>立充充电宝取机柜-物流服务</v>
      </c>
      <c r="P460" s="1" t="str">
        <f>VLOOKUP(C460,[1]Sheet2!G:H,2,FALSE)</f>
        <v>134****6101</v>
      </c>
      <c r="Q460" s="31" t="s">
        <v>32</v>
      </c>
    </row>
    <row r="461" s="1" customFormat="1" spans="1:17">
      <c r="A461" s="8" t="s">
        <v>840</v>
      </c>
      <c r="B461" s="8" t="s">
        <v>826</v>
      </c>
      <c r="C461" s="8" t="s">
        <v>787</v>
      </c>
      <c r="D461" s="8" t="s">
        <v>780</v>
      </c>
      <c r="E461" s="8" t="s">
        <v>24</v>
      </c>
      <c r="F461" s="8" t="s">
        <v>153</v>
      </c>
      <c r="G461" s="8" t="s">
        <v>34</v>
      </c>
      <c r="H461" s="8" t="s">
        <v>27</v>
      </c>
      <c r="I461" s="8" t="s">
        <v>69</v>
      </c>
      <c r="J461" s="8" t="s">
        <v>84</v>
      </c>
      <c r="K461" s="8" t="s">
        <v>30</v>
      </c>
      <c r="L461" s="8" t="s">
        <v>84</v>
      </c>
      <c r="M461" s="8" t="s">
        <v>781</v>
      </c>
      <c r="N461" s="8" t="s">
        <v>71</v>
      </c>
      <c r="O461" s="1" t="str">
        <f>VLOOKUP(C461,[1]Sheet2!A:C,2,FALSE)</f>
        <v>立充充电宝取机柜-物流服务</v>
      </c>
      <c r="P461" s="1" t="str">
        <f>VLOOKUP(C461,[1]Sheet2!G:H,2,FALSE)</f>
        <v>134****6101</v>
      </c>
      <c r="Q461" s="31" t="s">
        <v>32</v>
      </c>
    </row>
    <row r="462" s="1" customFormat="1" spans="1:17">
      <c r="A462" s="8" t="s">
        <v>841</v>
      </c>
      <c r="B462" s="8" t="s">
        <v>826</v>
      </c>
      <c r="C462" s="8" t="s">
        <v>790</v>
      </c>
      <c r="D462" s="8" t="s">
        <v>780</v>
      </c>
      <c r="E462" s="8" t="s">
        <v>24</v>
      </c>
      <c r="F462" s="8" t="s">
        <v>153</v>
      </c>
      <c r="G462" s="8" t="s">
        <v>34</v>
      </c>
      <c r="H462" s="8" t="s">
        <v>27</v>
      </c>
      <c r="I462" s="8" t="s">
        <v>69</v>
      </c>
      <c r="J462" s="8" t="s">
        <v>84</v>
      </c>
      <c r="K462" s="8" t="s">
        <v>30</v>
      </c>
      <c r="L462" s="8" t="s">
        <v>84</v>
      </c>
      <c r="M462" s="8" t="s">
        <v>781</v>
      </c>
      <c r="N462" s="8" t="s">
        <v>71</v>
      </c>
      <c r="O462" s="1" t="str">
        <f>VLOOKUP(C462,[1]Sheet2!A:C,2,FALSE)</f>
        <v>立充充电宝取机柜-物流服务</v>
      </c>
      <c r="P462" s="1" t="str">
        <f>VLOOKUP(C462,[1]Sheet2!G:H,2,FALSE)</f>
        <v>134****6101</v>
      </c>
      <c r="Q462" s="31" t="s">
        <v>32</v>
      </c>
    </row>
    <row r="463" s="1" customFormat="1" spans="1:17">
      <c r="A463" s="8" t="s">
        <v>842</v>
      </c>
      <c r="B463" s="8" t="s">
        <v>826</v>
      </c>
      <c r="C463" s="8" t="s">
        <v>795</v>
      </c>
      <c r="D463" s="8" t="s">
        <v>45</v>
      </c>
      <c r="E463" s="8" t="s">
        <v>45</v>
      </c>
      <c r="F463" s="8" t="s">
        <v>46</v>
      </c>
      <c r="G463" s="8" t="s">
        <v>34</v>
      </c>
      <c r="H463" s="8" t="s">
        <v>27</v>
      </c>
      <c r="I463" s="8" t="s">
        <v>69</v>
      </c>
      <c r="J463" s="8" t="s">
        <v>84</v>
      </c>
      <c r="K463" s="8" t="s">
        <v>30</v>
      </c>
      <c r="L463" s="8" t="s">
        <v>84</v>
      </c>
      <c r="M463" s="8" t="s">
        <v>46</v>
      </c>
      <c r="N463" s="8" t="s">
        <v>71</v>
      </c>
      <c r="O463" s="1" t="str">
        <f>VLOOKUP(C463,[1]Sheet2!A:C,2,FALSE)</f>
        <v>立充充电宝取机柜-物流服务</v>
      </c>
      <c r="P463" s="1" t="str">
        <f>VLOOKUP(C463,[1]Sheet2!G:H,2,FALSE)</f>
        <v>186****6788</v>
      </c>
      <c r="Q463" s="12" t="s">
        <v>48</v>
      </c>
    </row>
    <row r="464" s="1" customFormat="1" spans="1:17">
      <c r="A464" s="8" t="s">
        <v>843</v>
      </c>
      <c r="B464" s="8" t="s">
        <v>826</v>
      </c>
      <c r="C464" s="8" t="s">
        <v>799</v>
      </c>
      <c r="D464" s="8" t="s">
        <v>45</v>
      </c>
      <c r="E464" s="8" t="s">
        <v>45</v>
      </c>
      <c r="F464" s="8" t="s">
        <v>46</v>
      </c>
      <c r="G464" s="8" t="s">
        <v>34</v>
      </c>
      <c r="H464" s="8" t="s">
        <v>27</v>
      </c>
      <c r="I464" s="8" t="s">
        <v>69</v>
      </c>
      <c r="J464" s="8" t="s">
        <v>70</v>
      </c>
      <c r="K464" s="8" t="s">
        <v>30</v>
      </c>
      <c r="L464" s="8" t="s">
        <v>70</v>
      </c>
      <c r="M464" s="8" t="s">
        <v>46</v>
      </c>
      <c r="N464" s="8" t="s">
        <v>71</v>
      </c>
      <c r="O464" s="1" t="str">
        <f>VLOOKUP(C464,[1]Sheet2!A:C,2,FALSE)</f>
        <v>取宝-物流服务</v>
      </c>
      <c r="P464" s="1" t="str">
        <f>VLOOKUP(C464,[1]Sheet2!G:H,2,FALSE)</f>
        <v>186****6788</v>
      </c>
      <c r="Q464" s="12" t="s">
        <v>48</v>
      </c>
    </row>
    <row r="465" s="1" customFormat="1" spans="1:17">
      <c r="A465" s="8" t="s">
        <v>844</v>
      </c>
      <c r="B465" s="8" t="s">
        <v>826</v>
      </c>
      <c r="C465" s="8" t="s">
        <v>802</v>
      </c>
      <c r="D465" s="8" t="s">
        <v>45</v>
      </c>
      <c r="E465" s="8" t="s">
        <v>45</v>
      </c>
      <c r="F465" s="8" t="s">
        <v>46</v>
      </c>
      <c r="G465" s="8" t="s">
        <v>34</v>
      </c>
      <c r="H465" s="8" t="s">
        <v>27</v>
      </c>
      <c r="I465" s="8" t="s">
        <v>69</v>
      </c>
      <c r="J465" s="8" t="s">
        <v>70</v>
      </c>
      <c r="K465" s="8" t="s">
        <v>30</v>
      </c>
      <c r="L465" s="8" t="s">
        <v>70</v>
      </c>
      <c r="M465" s="8" t="s">
        <v>46</v>
      </c>
      <c r="N465" s="8" t="s">
        <v>71</v>
      </c>
      <c r="O465" s="1" t="str">
        <f>VLOOKUP(C465,[1]Sheet2!A:C,2,FALSE)</f>
        <v>取宝-物流服务</v>
      </c>
      <c r="P465" s="1" t="str">
        <f>VLOOKUP(C465,[1]Sheet2!G:H,2,FALSE)</f>
        <v>186****6788</v>
      </c>
      <c r="Q465" s="12" t="s">
        <v>48</v>
      </c>
    </row>
    <row r="466" s="1" customFormat="1" spans="1:17">
      <c r="A466" s="8" t="s">
        <v>845</v>
      </c>
      <c r="B466" s="8" t="s">
        <v>826</v>
      </c>
      <c r="C466" s="8" t="s">
        <v>805</v>
      </c>
      <c r="D466" s="8" t="s">
        <v>780</v>
      </c>
      <c r="E466" s="8" t="s">
        <v>24</v>
      </c>
      <c r="F466" s="8" t="s">
        <v>153</v>
      </c>
      <c r="G466" s="8" t="s">
        <v>34</v>
      </c>
      <c r="H466" s="8" t="s">
        <v>27</v>
      </c>
      <c r="I466" s="8" t="s">
        <v>69</v>
      </c>
      <c r="J466" s="8" t="s">
        <v>84</v>
      </c>
      <c r="K466" s="8" t="s">
        <v>30</v>
      </c>
      <c r="L466" s="8" t="s">
        <v>84</v>
      </c>
      <c r="M466" s="8" t="s">
        <v>781</v>
      </c>
      <c r="N466" s="8" t="s">
        <v>71</v>
      </c>
      <c r="O466" s="1" t="str">
        <f>VLOOKUP(C466,[1]Sheet2!A:C,2,FALSE)</f>
        <v>立充充电宝取机柜-物流服务</v>
      </c>
      <c r="P466" s="1" t="str">
        <f>VLOOKUP(C466,[1]Sheet2!G:H,2,FALSE)</f>
        <v>134****6101</v>
      </c>
      <c r="Q466" s="31" t="s">
        <v>32</v>
      </c>
    </row>
    <row r="467" s="1" customFormat="1" spans="1:17">
      <c r="A467" s="8" t="s">
        <v>846</v>
      </c>
      <c r="B467" s="8" t="s">
        <v>826</v>
      </c>
      <c r="C467" s="8" t="s">
        <v>808</v>
      </c>
      <c r="D467" s="8" t="s">
        <v>780</v>
      </c>
      <c r="E467" s="8" t="s">
        <v>24</v>
      </c>
      <c r="F467" s="8" t="s">
        <v>153</v>
      </c>
      <c r="G467" s="8" t="s">
        <v>34</v>
      </c>
      <c r="H467" s="8" t="s">
        <v>27</v>
      </c>
      <c r="I467" s="8" t="s">
        <v>69</v>
      </c>
      <c r="J467" s="8" t="s">
        <v>84</v>
      </c>
      <c r="K467" s="8" t="s">
        <v>30</v>
      </c>
      <c r="L467" s="8" t="s">
        <v>84</v>
      </c>
      <c r="M467" s="8" t="s">
        <v>781</v>
      </c>
      <c r="N467" s="8" t="s">
        <v>71</v>
      </c>
      <c r="O467" s="1" t="str">
        <f>VLOOKUP(C467,[1]Sheet2!A:C,2,FALSE)</f>
        <v>立充充电宝取机柜-物流服务</v>
      </c>
      <c r="P467" s="1" t="str">
        <f>VLOOKUP(C467,[1]Sheet2!G:H,2,FALSE)</f>
        <v>134****6101</v>
      </c>
      <c r="Q467" s="31" t="s">
        <v>32</v>
      </c>
    </row>
    <row r="468" s="1" customFormat="1" spans="1:17">
      <c r="A468" s="8" t="s">
        <v>847</v>
      </c>
      <c r="B468" s="8" t="s">
        <v>826</v>
      </c>
      <c r="C468" s="8" t="s">
        <v>811</v>
      </c>
      <c r="D468" s="8" t="s">
        <v>780</v>
      </c>
      <c r="E468" s="8" t="s">
        <v>24</v>
      </c>
      <c r="F468" s="8" t="s">
        <v>153</v>
      </c>
      <c r="G468" s="8" t="s">
        <v>34</v>
      </c>
      <c r="H468" s="8" t="s">
        <v>27</v>
      </c>
      <c r="I468" s="8" t="s">
        <v>69</v>
      </c>
      <c r="J468" s="8" t="s">
        <v>84</v>
      </c>
      <c r="K468" s="8" t="s">
        <v>30</v>
      </c>
      <c r="L468" s="8" t="s">
        <v>84</v>
      </c>
      <c r="M468" s="8" t="s">
        <v>781</v>
      </c>
      <c r="N468" s="8" t="s">
        <v>71</v>
      </c>
      <c r="O468" s="1" t="str">
        <f>VLOOKUP(C468,[1]Sheet2!A:C,2,FALSE)</f>
        <v>立充充电宝取机柜-物流服务</v>
      </c>
      <c r="P468" s="1" t="str">
        <f>VLOOKUP(C468,[1]Sheet2!G:H,2,FALSE)</f>
        <v>134****6101</v>
      </c>
      <c r="Q468" s="31" t="s">
        <v>32</v>
      </c>
    </row>
    <row r="469" s="1" customFormat="1" spans="1:17">
      <c r="A469" s="8" t="s">
        <v>848</v>
      </c>
      <c r="B469" s="8" t="s">
        <v>826</v>
      </c>
      <c r="C469" s="8" t="s">
        <v>814</v>
      </c>
      <c r="D469" s="8" t="s">
        <v>45</v>
      </c>
      <c r="E469" s="8" t="s">
        <v>45</v>
      </c>
      <c r="F469" s="8" t="s">
        <v>46</v>
      </c>
      <c r="G469" s="8" t="s">
        <v>34</v>
      </c>
      <c r="H469" s="8" t="s">
        <v>27</v>
      </c>
      <c r="I469" s="8" t="s">
        <v>69</v>
      </c>
      <c r="J469" s="8" t="s">
        <v>70</v>
      </c>
      <c r="K469" s="8" t="s">
        <v>30</v>
      </c>
      <c r="L469" s="8" t="s">
        <v>70</v>
      </c>
      <c r="M469" s="8" t="s">
        <v>46</v>
      </c>
      <c r="N469" s="8" t="s">
        <v>71</v>
      </c>
      <c r="O469" s="1" t="str">
        <f>VLOOKUP(C469,[1]Sheet2!A:C,2,FALSE)</f>
        <v>取宝-物流服务</v>
      </c>
      <c r="P469" s="1" t="str">
        <f>VLOOKUP(C469,[1]Sheet2!G:H,2,FALSE)</f>
        <v>186****6788</v>
      </c>
      <c r="Q469" s="12" t="s">
        <v>48</v>
      </c>
    </row>
    <row r="470" s="1" customFormat="1" spans="1:17">
      <c r="A470" s="8" t="s">
        <v>849</v>
      </c>
      <c r="B470" s="8" t="s">
        <v>826</v>
      </c>
      <c r="C470" s="8" t="s">
        <v>817</v>
      </c>
      <c r="D470" s="8" t="s">
        <v>45</v>
      </c>
      <c r="E470" s="8" t="s">
        <v>45</v>
      </c>
      <c r="F470" s="8" t="s">
        <v>46</v>
      </c>
      <c r="G470" s="8" t="s">
        <v>34</v>
      </c>
      <c r="H470" s="8" t="s">
        <v>27</v>
      </c>
      <c r="I470" s="8" t="s">
        <v>69</v>
      </c>
      <c r="J470" s="8" t="s">
        <v>70</v>
      </c>
      <c r="K470" s="8" t="s">
        <v>30</v>
      </c>
      <c r="L470" s="8" t="s">
        <v>70</v>
      </c>
      <c r="M470" s="8" t="s">
        <v>46</v>
      </c>
      <c r="N470" s="8" t="s">
        <v>71</v>
      </c>
      <c r="O470" s="1" t="str">
        <f>VLOOKUP(C470,[1]Sheet2!A:C,2,FALSE)</f>
        <v>取宝-物流服务</v>
      </c>
      <c r="P470" s="1" t="str">
        <f>VLOOKUP(C470,[1]Sheet2!G:H,2,FALSE)</f>
        <v>186****6788</v>
      </c>
      <c r="Q470" s="12" t="s">
        <v>48</v>
      </c>
    </row>
    <row r="471" s="1" customFormat="1" spans="1:17">
      <c r="A471" s="8" t="s">
        <v>850</v>
      </c>
      <c r="B471" s="8" t="s">
        <v>826</v>
      </c>
      <c r="C471" s="8" t="s">
        <v>820</v>
      </c>
      <c r="D471" s="8" t="s">
        <v>45</v>
      </c>
      <c r="E471" s="8" t="s">
        <v>45</v>
      </c>
      <c r="F471" s="8" t="s">
        <v>46</v>
      </c>
      <c r="G471" s="8" t="s">
        <v>34</v>
      </c>
      <c r="H471" s="8" t="s">
        <v>27</v>
      </c>
      <c r="I471" s="8" t="s">
        <v>69</v>
      </c>
      <c r="J471" s="8" t="s">
        <v>84</v>
      </c>
      <c r="K471" s="8" t="s">
        <v>30</v>
      </c>
      <c r="L471" s="8" t="s">
        <v>84</v>
      </c>
      <c r="M471" s="8" t="s">
        <v>46</v>
      </c>
      <c r="N471" s="8" t="s">
        <v>71</v>
      </c>
      <c r="O471" s="1" t="str">
        <f>VLOOKUP(C471,[1]Sheet2!A:C,2,FALSE)</f>
        <v>立充充电宝取机柜-物流服务</v>
      </c>
      <c r="P471" s="1" t="str">
        <f>VLOOKUP(C471,[1]Sheet2!G:H,2,FALSE)</f>
        <v>186****6788</v>
      </c>
      <c r="Q471" s="12" t="s">
        <v>48</v>
      </c>
    </row>
    <row r="472" s="1" customFormat="1" spans="1:17">
      <c r="A472" s="8" t="s">
        <v>851</v>
      </c>
      <c r="B472" s="8" t="s">
        <v>826</v>
      </c>
      <c r="C472" s="8" t="s">
        <v>823</v>
      </c>
      <c r="D472" s="8" t="s">
        <v>45</v>
      </c>
      <c r="E472" s="8" t="s">
        <v>45</v>
      </c>
      <c r="F472" s="8" t="s">
        <v>46</v>
      </c>
      <c r="G472" s="8" t="s">
        <v>34</v>
      </c>
      <c r="H472" s="8" t="s">
        <v>27</v>
      </c>
      <c r="I472" s="8" t="s">
        <v>69</v>
      </c>
      <c r="J472" s="8" t="s">
        <v>70</v>
      </c>
      <c r="K472" s="8" t="s">
        <v>30</v>
      </c>
      <c r="L472" s="8" t="s">
        <v>70</v>
      </c>
      <c r="M472" s="8" t="s">
        <v>46</v>
      </c>
      <c r="N472" s="8" t="s">
        <v>71</v>
      </c>
      <c r="O472" s="1" t="str">
        <f>VLOOKUP(C472,[1]Sheet2!A:C,2,FALSE)</f>
        <v>取宝-物流服务</v>
      </c>
      <c r="P472" s="1" t="str">
        <f>VLOOKUP(C472,[1]Sheet2!G:H,2,FALSE)</f>
        <v>186****6788</v>
      </c>
      <c r="Q472" s="12" t="s">
        <v>48</v>
      </c>
    </row>
    <row r="473" s="1" customFormat="1" spans="1:17">
      <c r="A473" s="8" t="s">
        <v>852</v>
      </c>
      <c r="B473" s="8" t="s">
        <v>826</v>
      </c>
      <c r="C473" s="8" t="s">
        <v>853</v>
      </c>
      <c r="D473" s="8" t="s">
        <v>674</v>
      </c>
      <c r="E473" s="8" t="s">
        <v>674</v>
      </c>
      <c r="F473" s="8" t="s">
        <v>828</v>
      </c>
      <c r="G473" s="8" t="s">
        <v>26</v>
      </c>
      <c r="H473" s="8" t="s">
        <v>27</v>
      </c>
      <c r="I473" s="8" t="s">
        <v>28</v>
      </c>
      <c r="J473" s="8" t="s">
        <v>113</v>
      </c>
      <c r="K473" s="8" t="s">
        <v>30</v>
      </c>
      <c r="L473" s="8" t="s">
        <v>113</v>
      </c>
      <c r="M473" s="8" t="s">
        <v>829</v>
      </c>
      <c r="N473" s="8" t="s">
        <v>31</v>
      </c>
      <c r="O473" s="1" t="str">
        <f>VLOOKUP(C473,[1]Sheet2!A:C,2,FALSE)</f>
        <v>取宝-仅物流</v>
      </c>
      <c r="P473" s="1" t="str">
        <f>VLOOKUP(C473,[1]Sheet2!G:H,2,FALSE)</f>
        <v>165****7666</v>
      </c>
      <c r="Q473" s="31" t="s">
        <v>318</v>
      </c>
    </row>
    <row r="474" s="1" customFormat="1" spans="1:17">
      <c r="A474" s="8" t="s">
        <v>854</v>
      </c>
      <c r="B474" s="8" t="s">
        <v>826</v>
      </c>
      <c r="C474" s="8" t="s">
        <v>853</v>
      </c>
      <c r="D474" s="8" t="s">
        <v>674</v>
      </c>
      <c r="E474" s="8" t="s">
        <v>674</v>
      </c>
      <c r="F474" s="8" t="s">
        <v>828</v>
      </c>
      <c r="G474" s="8" t="s">
        <v>34</v>
      </c>
      <c r="H474" s="8" t="s">
        <v>27</v>
      </c>
      <c r="I474" s="8" t="s">
        <v>28</v>
      </c>
      <c r="J474" s="8" t="s">
        <v>55</v>
      </c>
      <c r="K474" s="8" t="s">
        <v>30</v>
      </c>
      <c r="L474" s="8" t="s">
        <v>55</v>
      </c>
      <c r="M474" s="8" t="s">
        <v>829</v>
      </c>
      <c r="N474" s="8" t="s">
        <v>36</v>
      </c>
      <c r="O474" s="1" t="str">
        <f>VLOOKUP(C474,[1]Sheet2!A:C,2,FALSE)</f>
        <v>取宝-仅物流</v>
      </c>
      <c r="P474" s="1" t="str">
        <f>VLOOKUP(C474,[1]Sheet2!G:H,2,FALSE)</f>
        <v>165****7666</v>
      </c>
      <c r="Q474" s="31" t="s">
        <v>318</v>
      </c>
    </row>
    <row r="475" s="1" customFormat="1" spans="1:17">
      <c r="A475" s="8" t="s">
        <v>855</v>
      </c>
      <c r="B475" s="8" t="s">
        <v>826</v>
      </c>
      <c r="C475" s="8" t="s">
        <v>856</v>
      </c>
      <c r="D475" s="8" t="s">
        <v>674</v>
      </c>
      <c r="E475" s="8" t="s">
        <v>674</v>
      </c>
      <c r="F475" s="8" t="s">
        <v>828</v>
      </c>
      <c r="G475" s="8" t="s">
        <v>796</v>
      </c>
      <c r="H475" s="8" t="s">
        <v>27</v>
      </c>
      <c r="I475" s="8" t="s">
        <v>28</v>
      </c>
      <c r="J475" s="8" t="s">
        <v>118</v>
      </c>
      <c r="K475" s="8" t="s">
        <v>30</v>
      </c>
      <c r="L475" s="8" t="s">
        <v>118</v>
      </c>
      <c r="M475" s="8" t="s">
        <v>829</v>
      </c>
      <c r="N475" s="8" t="s">
        <v>31</v>
      </c>
      <c r="O475" s="1" t="str">
        <f>VLOOKUP(C475,[1]Sheet2!A:C,2,FALSE)</f>
        <v>立充充电宝取机柜-仅物流</v>
      </c>
      <c r="P475" s="1" t="str">
        <f>VLOOKUP(C475,[1]Sheet2!G:H,2,FALSE)</f>
        <v>165****7666</v>
      </c>
      <c r="Q475" s="31" t="s">
        <v>318</v>
      </c>
    </row>
    <row r="476" s="1" customFormat="1" spans="1:17">
      <c r="A476" s="8" t="s">
        <v>857</v>
      </c>
      <c r="B476" s="8" t="s">
        <v>826</v>
      </c>
      <c r="C476" s="8" t="s">
        <v>856</v>
      </c>
      <c r="D476" s="8" t="s">
        <v>674</v>
      </c>
      <c r="E476" s="8" t="s">
        <v>674</v>
      </c>
      <c r="F476" s="8" t="s">
        <v>828</v>
      </c>
      <c r="G476" s="8" t="s">
        <v>34</v>
      </c>
      <c r="H476" s="8" t="s">
        <v>27</v>
      </c>
      <c r="I476" s="8" t="s">
        <v>28</v>
      </c>
      <c r="J476" s="8" t="s">
        <v>42</v>
      </c>
      <c r="K476" s="8" t="s">
        <v>30</v>
      </c>
      <c r="L476" s="8" t="s">
        <v>42</v>
      </c>
      <c r="M476" s="8" t="s">
        <v>829</v>
      </c>
      <c r="N476" s="8" t="s">
        <v>36</v>
      </c>
      <c r="O476" s="1" t="str">
        <f>VLOOKUP(C476,[1]Sheet2!A:C,2,FALSE)</f>
        <v>立充充电宝取机柜-仅物流</v>
      </c>
      <c r="P476" s="1" t="str">
        <f>VLOOKUP(C476,[1]Sheet2!G:H,2,FALSE)</f>
        <v>165****7666</v>
      </c>
      <c r="Q476" s="31" t="s">
        <v>318</v>
      </c>
    </row>
    <row r="477" s="1" customFormat="1" spans="1:17">
      <c r="A477" s="8" t="s">
        <v>858</v>
      </c>
      <c r="B477" s="8" t="s">
        <v>826</v>
      </c>
      <c r="C477" s="8" t="s">
        <v>859</v>
      </c>
      <c r="D477" s="8" t="s">
        <v>45</v>
      </c>
      <c r="E477" s="8" t="s">
        <v>45</v>
      </c>
      <c r="F477" s="8" t="s">
        <v>46</v>
      </c>
      <c r="G477" s="8" t="s">
        <v>186</v>
      </c>
      <c r="H477" s="8" t="s">
        <v>27</v>
      </c>
      <c r="I477" s="8" t="s">
        <v>28</v>
      </c>
      <c r="J477" s="8" t="s">
        <v>29</v>
      </c>
      <c r="K477" s="8" t="s">
        <v>30</v>
      </c>
      <c r="L477" s="8" t="s">
        <v>29</v>
      </c>
      <c r="M477" s="8" t="s">
        <v>46</v>
      </c>
      <c r="N477" s="8" t="s">
        <v>31</v>
      </c>
      <c r="O477" s="1" t="str">
        <f>VLOOKUP(C477,[1]Sheet2!A:C,2,FALSE)</f>
        <v>立充充电宝取机柜-物流服务</v>
      </c>
      <c r="P477" s="1" t="str">
        <f>VLOOKUP(C477,[1]Sheet2!G:H,2,FALSE)</f>
        <v>186****6788</v>
      </c>
      <c r="Q477" s="12" t="s">
        <v>48</v>
      </c>
    </row>
    <row r="478" s="1" customFormat="1" spans="1:17">
      <c r="A478" s="8" t="s">
        <v>860</v>
      </c>
      <c r="B478" s="8" t="s">
        <v>826</v>
      </c>
      <c r="C478" s="8" t="s">
        <v>859</v>
      </c>
      <c r="D478" s="8" t="s">
        <v>45</v>
      </c>
      <c r="E478" s="8" t="s">
        <v>45</v>
      </c>
      <c r="F478" s="8" t="s">
        <v>46</v>
      </c>
      <c r="G478" s="8" t="s">
        <v>34</v>
      </c>
      <c r="H478" s="8" t="s">
        <v>27</v>
      </c>
      <c r="I478" s="8" t="s">
        <v>28</v>
      </c>
      <c r="J478" s="8" t="s">
        <v>189</v>
      </c>
      <c r="K478" s="8" t="s">
        <v>30</v>
      </c>
      <c r="L478" s="8" t="s">
        <v>189</v>
      </c>
      <c r="M478" s="8" t="s">
        <v>46</v>
      </c>
      <c r="N478" s="8" t="s">
        <v>36</v>
      </c>
      <c r="O478" s="1" t="str">
        <f>VLOOKUP(C478,[1]Sheet2!A:C,2,FALSE)</f>
        <v>立充充电宝取机柜-物流服务</v>
      </c>
      <c r="P478" s="1" t="str">
        <f>VLOOKUP(C478,[1]Sheet2!G:H,2,FALSE)</f>
        <v>186****6788</v>
      </c>
      <c r="Q478" s="12" t="s">
        <v>48</v>
      </c>
    </row>
    <row r="479" s="1" customFormat="1" spans="1:17">
      <c r="A479" s="8" t="s">
        <v>861</v>
      </c>
      <c r="B479" s="8" t="s">
        <v>826</v>
      </c>
      <c r="C479" s="8" t="s">
        <v>862</v>
      </c>
      <c r="D479" s="8" t="s">
        <v>45</v>
      </c>
      <c r="E479" s="8" t="s">
        <v>45</v>
      </c>
      <c r="F479" s="8" t="s">
        <v>46</v>
      </c>
      <c r="G479" s="8" t="s">
        <v>26</v>
      </c>
      <c r="H479" s="8" t="s">
        <v>27</v>
      </c>
      <c r="I479" s="8" t="s">
        <v>28</v>
      </c>
      <c r="J479" s="8" t="s">
        <v>47</v>
      </c>
      <c r="K479" s="8" t="s">
        <v>30</v>
      </c>
      <c r="L479" s="8" t="s">
        <v>47</v>
      </c>
      <c r="M479" s="8" t="s">
        <v>46</v>
      </c>
      <c r="N479" s="8" t="s">
        <v>31</v>
      </c>
      <c r="O479" s="1" t="str">
        <f>VLOOKUP(C479,[1]Sheet2!A:C,2,FALSE)</f>
        <v>取宝-物流服务</v>
      </c>
      <c r="P479" s="1" t="str">
        <f>VLOOKUP(C479,[1]Sheet2!G:H,2,FALSE)</f>
        <v>186****6788</v>
      </c>
      <c r="Q479" s="12" t="s">
        <v>48</v>
      </c>
    </row>
    <row r="480" s="1" customFormat="1" spans="1:17">
      <c r="A480" s="8" t="s">
        <v>863</v>
      </c>
      <c r="B480" s="8" t="s">
        <v>826</v>
      </c>
      <c r="C480" s="8" t="s">
        <v>862</v>
      </c>
      <c r="D480" s="8" t="s">
        <v>45</v>
      </c>
      <c r="E480" s="8" t="s">
        <v>45</v>
      </c>
      <c r="F480" s="8" t="s">
        <v>46</v>
      </c>
      <c r="G480" s="8" t="s">
        <v>34</v>
      </c>
      <c r="H480" s="8" t="s">
        <v>27</v>
      </c>
      <c r="I480" s="8" t="s">
        <v>28</v>
      </c>
      <c r="J480" s="8" t="s">
        <v>35</v>
      </c>
      <c r="K480" s="8" t="s">
        <v>30</v>
      </c>
      <c r="L480" s="8" t="s">
        <v>35</v>
      </c>
      <c r="M480" s="8" t="s">
        <v>46</v>
      </c>
      <c r="N480" s="8" t="s">
        <v>36</v>
      </c>
      <c r="O480" s="1" t="str">
        <f>VLOOKUP(C480,[1]Sheet2!A:C,2,FALSE)</f>
        <v>取宝-物流服务</v>
      </c>
      <c r="P480" s="1" t="str">
        <f>VLOOKUP(C480,[1]Sheet2!G:H,2,FALSE)</f>
        <v>186****6788</v>
      </c>
      <c r="Q480" s="12" t="s">
        <v>48</v>
      </c>
    </row>
    <row r="481" s="1" customFormat="1" spans="1:17">
      <c r="A481" s="8" t="s">
        <v>864</v>
      </c>
      <c r="B481" s="8" t="s">
        <v>826</v>
      </c>
      <c r="C481" s="8" t="s">
        <v>865</v>
      </c>
      <c r="D481" s="8" t="s">
        <v>45</v>
      </c>
      <c r="E481" s="8" t="s">
        <v>45</v>
      </c>
      <c r="F481" s="8" t="s">
        <v>46</v>
      </c>
      <c r="G481" s="8" t="s">
        <v>26</v>
      </c>
      <c r="H481" s="8" t="s">
        <v>27</v>
      </c>
      <c r="I481" s="8" t="s">
        <v>28</v>
      </c>
      <c r="J481" s="8" t="s">
        <v>47</v>
      </c>
      <c r="K481" s="8" t="s">
        <v>30</v>
      </c>
      <c r="L481" s="8" t="s">
        <v>47</v>
      </c>
      <c r="M481" s="8" t="s">
        <v>46</v>
      </c>
      <c r="N481" s="8" t="s">
        <v>31</v>
      </c>
      <c r="O481" s="1" t="str">
        <f>VLOOKUP(C481,[1]Sheet2!A:C,2,FALSE)</f>
        <v>取宝-物流服务</v>
      </c>
      <c r="P481" s="1" t="str">
        <f>VLOOKUP(C481,[1]Sheet2!G:H,2,FALSE)</f>
        <v>186****6788</v>
      </c>
      <c r="Q481" s="12" t="s">
        <v>48</v>
      </c>
    </row>
    <row r="482" s="1" customFormat="1" spans="1:17">
      <c r="A482" s="8" t="s">
        <v>866</v>
      </c>
      <c r="B482" s="8" t="s">
        <v>826</v>
      </c>
      <c r="C482" s="8" t="s">
        <v>867</v>
      </c>
      <c r="D482" s="8" t="s">
        <v>674</v>
      </c>
      <c r="E482" s="8" t="s">
        <v>674</v>
      </c>
      <c r="F482" s="8" t="s">
        <v>828</v>
      </c>
      <c r="G482" s="8" t="s">
        <v>26</v>
      </c>
      <c r="H482" s="8" t="s">
        <v>27</v>
      </c>
      <c r="I482" s="8" t="s">
        <v>28</v>
      </c>
      <c r="J482" s="8" t="s">
        <v>113</v>
      </c>
      <c r="K482" s="8" t="s">
        <v>30</v>
      </c>
      <c r="L482" s="8" t="s">
        <v>113</v>
      </c>
      <c r="M482" s="8" t="s">
        <v>829</v>
      </c>
      <c r="N482" s="8" t="s">
        <v>31</v>
      </c>
      <c r="O482" s="1" t="str">
        <f>VLOOKUP(C482,[1]Sheet2!A:C,2,FALSE)</f>
        <v>取宝-仅物流</v>
      </c>
      <c r="P482" s="1" t="str">
        <f>VLOOKUP(C482,[1]Sheet2!G:H,2,FALSE)</f>
        <v>165****7666</v>
      </c>
      <c r="Q482" s="31" t="s">
        <v>318</v>
      </c>
    </row>
    <row r="483" s="1" customFormat="1" spans="1:17">
      <c r="A483" s="8" t="s">
        <v>868</v>
      </c>
      <c r="B483" s="8" t="s">
        <v>826</v>
      </c>
      <c r="C483" s="8" t="s">
        <v>867</v>
      </c>
      <c r="D483" s="8" t="s">
        <v>674</v>
      </c>
      <c r="E483" s="8" t="s">
        <v>674</v>
      </c>
      <c r="F483" s="8" t="s">
        <v>828</v>
      </c>
      <c r="G483" s="8" t="s">
        <v>34</v>
      </c>
      <c r="H483" s="8" t="s">
        <v>27</v>
      </c>
      <c r="I483" s="8" t="s">
        <v>28</v>
      </c>
      <c r="J483" s="8" t="s">
        <v>55</v>
      </c>
      <c r="K483" s="8" t="s">
        <v>30</v>
      </c>
      <c r="L483" s="8" t="s">
        <v>55</v>
      </c>
      <c r="M483" s="8" t="s">
        <v>829</v>
      </c>
      <c r="N483" s="8" t="s">
        <v>36</v>
      </c>
      <c r="O483" s="1" t="str">
        <f>VLOOKUP(C483,[1]Sheet2!A:C,2,FALSE)</f>
        <v>取宝-仅物流</v>
      </c>
      <c r="P483" s="1" t="str">
        <f>VLOOKUP(C483,[1]Sheet2!G:H,2,FALSE)</f>
        <v>165****7666</v>
      </c>
      <c r="Q483" s="31" t="s">
        <v>318</v>
      </c>
    </row>
    <row r="484" s="1" customFormat="1" spans="1:17">
      <c r="A484" s="8" t="s">
        <v>869</v>
      </c>
      <c r="B484" s="8" t="s">
        <v>826</v>
      </c>
      <c r="C484" s="8" t="s">
        <v>870</v>
      </c>
      <c r="D484" s="8" t="s">
        <v>45</v>
      </c>
      <c r="E484" s="8" t="s">
        <v>45</v>
      </c>
      <c r="F484" s="8" t="s">
        <v>46</v>
      </c>
      <c r="G484" s="8" t="s">
        <v>26</v>
      </c>
      <c r="H484" s="8" t="s">
        <v>27</v>
      </c>
      <c r="I484" s="8" t="s">
        <v>28</v>
      </c>
      <c r="J484" s="8" t="s">
        <v>47</v>
      </c>
      <c r="K484" s="8" t="s">
        <v>30</v>
      </c>
      <c r="L484" s="8" t="s">
        <v>47</v>
      </c>
      <c r="M484" s="8" t="s">
        <v>46</v>
      </c>
      <c r="N484" s="8" t="s">
        <v>31</v>
      </c>
      <c r="O484" s="1" t="str">
        <f>VLOOKUP(C484,[1]Sheet2!A:C,2,FALSE)</f>
        <v>取宝-物流服务</v>
      </c>
      <c r="P484" s="1" t="str">
        <f>VLOOKUP(C484,[1]Sheet2!G:H,2,FALSE)</f>
        <v>186****6788</v>
      </c>
      <c r="Q484" s="12" t="s">
        <v>48</v>
      </c>
    </row>
    <row r="485" s="1" customFormat="1" spans="1:17">
      <c r="A485" s="8" t="s">
        <v>871</v>
      </c>
      <c r="B485" s="8" t="s">
        <v>826</v>
      </c>
      <c r="C485" s="8" t="s">
        <v>870</v>
      </c>
      <c r="D485" s="8" t="s">
        <v>45</v>
      </c>
      <c r="E485" s="8" t="s">
        <v>45</v>
      </c>
      <c r="F485" s="8" t="s">
        <v>46</v>
      </c>
      <c r="G485" s="8" t="s">
        <v>34</v>
      </c>
      <c r="H485" s="8" t="s">
        <v>27</v>
      </c>
      <c r="I485" s="8" t="s">
        <v>28</v>
      </c>
      <c r="J485" s="8" t="s">
        <v>35</v>
      </c>
      <c r="K485" s="8" t="s">
        <v>30</v>
      </c>
      <c r="L485" s="8" t="s">
        <v>35</v>
      </c>
      <c r="M485" s="8" t="s">
        <v>46</v>
      </c>
      <c r="N485" s="8" t="s">
        <v>36</v>
      </c>
      <c r="O485" s="1" t="str">
        <f>VLOOKUP(C485,[1]Sheet2!A:C,2,FALSE)</f>
        <v>取宝-物流服务</v>
      </c>
      <c r="P485" s="1" t="str">
        <f>VLOOKUP(C485,[1]Sheet2!G:H,2,FALSE)</f>
        <v>186****6788</v>
      </c>
      <c r="Q485" s="12" t="s">
        <v>48</v>
      </c>
    </row>
    <row r="486" s="1" customFormat="1" ht="15.6" spans="1:17">
      <c r="A486" s="8" t="s">
        <v>872</v>
      </c>
      <c r="B486" s="8" t="s">
        <v>826</v>
      </c>
      <c r="C486" s="8" t="s">
        <v>873</v>
      </c>
      <c r="D486" s="8" t="s">
        <v>45</v>
      </c>
      <c r="E486" s="8" t="s">
        <v>45</v>
      </c>
      <c r="F486" s="8" t="s">
        <v>46</v>
      </c>
      <c r="G486" s="8" t="s">
        <v>763</v>
      </c>
      <c r="H486" s="8" t="s">
        <v>27</v>
      </c>
      <c r="I486" s="8" t="s">
        <v>28</v>
      </c>
      <c r="J486" s="8" t="s">
        <v>764</v>
      </c>
      <c r="K486" s="8" t="s">
        <v>30</v>
      </c>
      <c r="L486" s="8" t="s">
        <v>764</v>
      </c>
      <c r="M486" s="8" t="s">
        <v>46</v>
      </c>
      <c r="N486" s="8" t="s">
        <v>31</v>
      </c>
      <c r="O486" s="1" t="s">
        <v>874</v>
      </c>
      <c r="P486" s="10" t="s">
        <v>875</v>
      </c>
      <c r="Q486" s="12" t="s">
        <v>48</v>
      </c>
    </row>
    <row r="487" s="1" customFormat="1" ht="15.6" spans="1:17">
      <c r="A487" s="8" t="s">
        <v>876</v>
      </c>
      <c r="B487" s="8" t="s">
        <v>826</v>
      </c>
      <c r="C487" s="8" t="s">
        <v>873</v>
      </c>
      <c r="D487" s="8" t="s">
        <v>45</v>
      </c>
      <c r="E487" s="8" t="s">
        <v>45</v>
      </c>
      <c r="F487" s="8" t="s">
        <v>46</v>
      </c>
      <c r="G487" s="8" t="s">
        <v>34</v>
      </c>
      <c r="H487" s="8" t="s">
        <v>27</v>
      </c>
      <c r="I487" s="8" t="s">
        <v>28</v>
      </c>
      <c r="J487" s="8" t="s">
        <v>97</v>
      </c>
      <c r="K487" s="8" t="s">
        <v>30</v>
      </c>
      <c r="L487" s="8" t="s">
        <v>97</v>
      </c>
      <c r="M487" s="8" t="s">
        <v>46</v>
      </c>
      <c r="N487" s="8" t="s">
        <v>36</v>
      </c>
      <c r="O487" s="1" t="s">
        <v>874</v>
      </c>
      <c r="P487" s="10" t="s">
        <v>875</v>
      </c>
      <c r="Q487" s="12" t="s">
        <v>48</v>
      </c>
    </row>
    <row r="488" s="1" customFormat="1" spans="1:17">
      <c r="A488" s="8" t="s">
        <v>877</v>
      </c>
      <c r="B488" s="8" t="s">
        <v>826</v>
      </c>
      <c r="C488" s="8" t="s">
        <v>878</v>
      </c>
      <c r="D488" s="8" t="s">
        <v>45</v>
      </c>
      <c r="E488" s="8" t="s">
        <v>45</v>
      </c>
      <c r="F488" s="8" t="s">
        <v>46</v>
      </c>
      <c r="G488" s="8" t="s">
        <v>26</v>
      </c>
      <c r="H488" s="8" t="s">
        <v>27</v>
      </c>
      <c r="I488" s="8" t="s">
        <v>28</v>
      </c>
      <c r="J488" s="8" t="s">
        <v>47</v>
      </c>
      <c r="K488" s="8" t="s">
        <v>30</v>
      </c>
      <c r="L488" s="8" t="s">
        <v>47</v>
      </c>
      <c r="M488" s="8" t="s">
        <v>46</v>
      </c>
      <c r="N488" s="8" t="s">
        <v>31</v>
      </c>
      <c r="O488" s="1" t="str">
        <f>VLOOKUP(C488,[1]Sheet2!A:C,2,FALSE)</f>
        <v>取宝-物流服务</v>
      </c>
      <c r="P488" s="1" t="str">
        <f>VLOOKUP(C488,[1]Sheet2!G:H,2,FALSE)</f>
        <v>186****6788</v>
      </c>
      <c r="Q488" s="12" t="s">
        <v>48</v>
      </c>
    </row>
    <row r="489" s="1" customFormat="1" spans="1:17">
      <c r="A489" s="8" t="s">
        <v>879</v>
      </c>
      <c r="B489" s="8" t="s">
        <v>880</v>
      </c>
      <c r="C489" s="8" t="s">
        <v>767</v>
      </c>
      <c r="D489" s="8" t="s">
        <v>137</v>
      </c>
      <c r="E489" s="8" t="s">
        <v>45</v>
      </c>
      <c r="F489" s="8" t="s">
        <v>46</v>
      </c>
      <c r="G489" s="8" t="s">
        <v>34</v>
      </c>
      <c r="H489" s="8" t="s">
        <v>27</v>
      </c>
      <c r="I489" s="8" t="s">
        <v>69</v>
      </c>
      <c r="J489" s="8" t="s">
        <v>70</v>
      </c>
      <c r="K489" s="8" t="s">
        <v>30</v>
      </c>
      <c r="L489" s="8" t="s">
        <v>70</v>
      </c>
      <c r="M489" s="8" t="s">
        <v>46</v>
      </c>
      <c r="N489" s="8" t="s">
        <v>71</v>
      </c>
      <c r="O489" s="1" t="str">
        <f>VLOOKUP(C489,[1]Sheet2!A:C,2,FALSE)</f>
        <v>取宝-物流服务</v>
      </c>
      <c r="P489" s="1" t="str">
        <f>VLOOKUP(C489,[1]Sheet2!G:H,2,FALSE)</f>
        <v>186****6788</v>
      </c>
      <c r="Q489" s="12" t="s">
        <v>48</v>
      </c>
    </row>
    <row r="490" s="1" customFormat="1" spans="1:17">
      <c r="A490" s="8" t="s">
        <v>881</v>
      </c>
      <c r="B490" s="8" t="s">
        <v>880</v>
      </c>
      <c r="C490" s="8" t="s">
        <v>776</v>
      </c>
      <c r="D490" s="8" t="s">
        <v>137</v>
      </c>
      <c r="E490" s="8" t="s">
        <v>45</v>
      </c>
      <c r="F490" s="8" t="s">
        <v>46</v>
      </c>
      <c r="G490" s="8" t="s">
        <v>34</v>
      </c>
      <c r="H490" s="8" t="s">
        <v>27</v>
      </c>
      <c r="I490" s="8" t="s">
        <v>69</v>
      </c>
      <c r="J490" s="8" t="s">
        <v>84</v>
      </c>
      <c r="K490" s="8" t="s">
        <v>30</v>
      </c>
      <c r="L490" s="8" t="s">
        <v>84</v>
      </c>
      <c r="M490" s="8" t="s">
        <v>46</v>
      </c>
      <c r="N490" s="8" t="s">
        <v>71</v>
      </c>
      <c r="O490" s="1" t="str">
        <f>VLOOKUP(C490,[1]Sheet2!A:C,2,FALSE)</f>
        <v>立充充电宝取机柜-物流服务</v>
      </c>
      <c r="P490" s="1" t="str">
        <f>VLOOKUP(C490,[1]Sheet2!G:H,2,FALSE)</f>
        <v>186****6788</v>
      </c>
      <c r="Q490" s="12" t="s">
        <v>48</v>
      </c>
    </row>
    <row r="491" s="1" customFormat="1" spans="1:17">
      <c r="A491" s="8" t="s">
        <v>882</v>
      </c>
      <c r="B491" s="8" t="s">
        <v>880</v>
      </c>
      <c r="C491" s="8" t="s">
        <v>883</v>
      </c>
      <c r="D491" s="8" t="s">
        <v>45</v>
      </c>
      <c r="E491" s="8" t="s">
        <v>45</v>
      </c>
      <c r="F491" s="8" t="s">
        <v>46</v>
      </c>
      <c r="G491" s="8" t="s">
        <v>26</v>
      </c>
      <c r="H491" s="8" t="s">
        <v>27</v>
      </c>
      <c r="I491" s="8" t="s">
        <v>28</v>
      </c>
      <c r="J491" s="8" t="s">
        <v>47</v>
      </c>
      <c r="K491" s="8" t="s">
        <v>30</v>
      </c>
      <c r="L491" s="8" t="s">
        <v>47</v>
      </c>
      <c r="M491" s="8" t="s">
        <v>46</v>
      </c>
      <c r="N491" s="8" t="s">
        <v>31</v>
      </c>
      <c r="O491" s="1" t="str">
        <f>VLOOKUP(C491,[1]Sheet2!A:C,2,FALSE)</f>
        <v>取宝-物流服务</v>
      </c>
      <c r="P491" s="1" t="str">
        <f>VLOOKUP(C491,[1]Sheet2!G:H,2,FALSE)</f>
        <v>186****6788</v>
      </c>
      <c r="Q491" s="12" t="s">
        <v>48</v>
      </c>
    </row>
    <row r="492" s="1" customFormat="1" spans="1:17">
      <c r="A492" s="8" t="s">
        <v>884</v>
      </c>
      <c r="B492" s="8" t="s">
        <v>880</v>
      </c>
      <c r="C492" s="8" t="s">
        <v>883</v>
      </c>
      <c r="D492" s="8" t="s">
        <v>45</v>
      </c>
      <c r="E492" s="8" t="s">
        <v>45</v>
      </c>
      <c r="F492" s="8" t="s">
        <v>46</v>
      </c>
      <c r="G492" s="8" t="s">
        <v>34</v>
      </c>
      <c r="H492" s="8" t="s">
        <v>27</v>
      </c>
      <c r="I492" s="8" t="s">
        <v>28</v>
      </c>
      <c r="J492" s="8" t="s">
        <v>55</v>
      </c>
      <c r="K492" s="8" t="s">
        <v>30</v>
      </c>
      <c r="L492" s="8" t="s">
        <v>55</v>
      </c>
      <c r="M492" s="8" t="s">
        <v>46</v>
      </c>
      <c r="N492" s="8" t="s">
        <v>36</v>
      </c>
      <c r="O492" s="1" t="str">
        <f>VLOOKUP(C492,[1]Sheet2!A:C,2,FALSE)</f>
        <v>取宝-物流服务</v>
      </c>
      <c r="P492" s="1" t="str">
        <f>VLOOKUP(C492,[1]Sheet2!G:H,2,FALSE)</f>
        <v>186****6788</v>
      </c>
      <c r="Q492" s="12" t="s">
        <v>48</v>
      </c>
    </row>
    <row r="493" s="1" customFormat="1" spans="1:17">
      <c r="A493" s="8" t="s">
        <v>885</v>
      </c>
      <c r="B493" s="8" t="s">
        <v>880</v>
      </c>
      <c r="C493" s="8" t="s">
        <v>886</v>
      </c>
      <c r="D493" s="8" t="s">
        <v>45</v>
      </c>
      <c r="E493" s="8" t="s">
        <v>45</v>
      </c>
      <c r="F493" s="8" t="s">
        <v>46</v>
      </c>
      <c r="G493" s="8" t="s">
        <v>725</v>
      </c>
      <c r="H493" s="8" t="s">
        <v>27</v>
      </c>
      <c r="I493" s="8" t="s">
        <v>28</v>
      </c>
      <c r="J493" s="8" t="s">
        <v>29</v>
      </c>
      <c r="K493" s="8" t="s">
        <v>30</v>
      </c>
      <c r="L493" s="8" t="s">
        <v>29</v>
      </c>
      <c r="M493" s="8" t="s">
        <v>46</v>
      </c>
      <c r="N493" s="8" t="s">
        <v>31</v>
      </c>
      <c r="O493" s="1" t="str">
        <f>VLOOKUP(C493,[1]Sheet2!A:C,2,FALSE)</f>
        <v>立充充电宝取机柜-物流服务</v>
      </c>
      <c r="P493" s="1" t="str">
        <f>VLOOKUP(C493,[1]Sheet2!G:H,2,FALSE)</f>
        <v>186****6788</v>
      </c>
      <c r="Q493" s="12" t="s">
        <v>48</v>
      </c>
    </row>
    <row r="494" s="1" customFormat="1" spans="1:17">
      <c r="A494" s="8" t="s">
        <v>887</v>
      </c>
      <c r="B494" s="8" t="s">
        <v>880</v>
      </c>
      <c r="C494" s="8" t="s">
        <v>886</v>
      </c>
      <c r="D494" s="8" t="s">
        <v>45</v>
      </c>
      <c r="E494" s="8" t="s">
        <v>45</v>
      </c>
      <c r="F494" s="8" t="s">
        <v>46</v>
      </c>
      <c r="G494" s="8" t="s">
        <v>34</v>
      </c>
      <c r="H494" s="8" t="s">
        <v>27</v>
      </c>
      <c r="I494" s="8" t="s">
        <v>28</v>
      </c>
      <c r="J494" s="8" t="s">
        <v>189</v>
      </c>
      <c r="K494" s="8" t="s">
        <v>30</v>
      </c>
      <c r="L494" s="8" t="s">
        <v>189</v>
      </c>
      <c r="M494" s="8" t="s">
        <v>46</v>
      </c>
      <c r="N494" s="8" t="s">
        <v>36</v>
      </c>
      <c r="O494" s="1" t="str">
        <f>VLOOKUP(C494,[1]Sheet2!A:C,2,FALSE)</f>
        <v>立充充电宝取机柜-物流服务</v>
      </c>
      <c r="P494" s="1" t="str">
        <f>VLOOKUP(C494,[1]Sheet2!G:H,2,FALSE)</f>
        <v>186****6788</v>
      </c>
      <c r="Q494" s="12" t="s">
        <v>48</v>
      </c>
    </row>
    <row r="495" s="1" customFormat="1" spans="1:17">
      <c r="A495" s="8" t="s">
        <v>888</v>
      </c>
      <c r="B495" s="8" t="s">
        <v>880</v>
      </c>
      <c r="C495" s="8" t="s">
        <v>793</v>
      </c>
      <c r="D495" s="8" t="s">
        <v>780</v>
      </c>
      <c r="E495" s="8" t="s">
        <v>24</v>
      </c>
      <c r="F495" s="8" t="s">
        <v>153</v>
      </c>
      <c r="G495" s="8" t="s">
        <v>34</v>
      </c>
      <c r="H495" s="8" t="s">
        <v>27</v>
      </c>
      <c r="I495" s="8" t="s">
        <v>69</v>
      </c>
      <c r="J495" s="8" t="s">
        <v>84</v>
      </c>
      <c r="K495" s="8" t="s">
        <v>30</v>
      </c>
      <c r="L495" s="8" t="s">
        <v>84</v>
      </c>
      <c r="M495" s="8" t="s">
        <v>781</v>
      </c>
      <c r="N495" s="8" t="s">
        <v>71</v>
      </c>
      <c r="O495" s="1" t="str">
        <f>VLOOKUP(C495,[1]Sheet2!A:C,2,FALSE)</f>
        <v>立充充电宝取机柜-物流服务</v>
      </c>
      <c r="P495" s="1" t="str">
        <f>VLOOKUP(C495,[1]Sheet2!G:H,2,FALSE)</f>
        <v>134****6101</v>
      </c>
      <c r="Q495" s="31" t="s">
        <v>32</v>
      </c>
    </row>
    <row r="496" s="1" customFormat="1" spans="1:17">
      <c r="A496" s="8" t="s">
        <v>889</v>
      </c>
      <c r="B496" s="8" t="s">
        <v>880</v>
      </c>
      <c r="C496" s="8" t="s">
        <v>859</v>
      </c>
      <c r="D496" s="8" t="s">
        <v>45</v>
      </c>
      <c r="E496" s="8" t="s">
        <v>45</v>
      </c>
      <c r="F496" s="8" t="s">
        <v>46</v>
      </c>
      <c r="G496" s="8" t="s">
        <v>34</v>
      </c>
      <c r="H496" s="8" t="s">
        <v>27</v>
      </c>
      <c r="I496" s="8" t="s">
        <v>69</v>
      </c>
      <c r="J496" s="8" t="s">
        <v>84</v>
      </c>
      <c r="K496" s="8" t="s">
        <v>30</v>
      </c>
      <c r="L496" s="8" t="s">
        <v>84</v>
      </c>
      <c r="M496" s="8" t="s">
        <v>46</v>
      </c>
      <c r="N496" s="8" t="s">
        <v>71</v>
      </c>
      <c r="O496" s="1" t="str">
        <f>VLOOKUP(C496,[1]Sheet2!A:C,2,FALSE)</f>
        <v>立充充电宝取机柜-物流服务</v>
      </c>
      <c r="P496" s="1" t="str">
        <f>VLOOKUP(C496,[1]Sheet2!G:H,2,FALSE)</f>
        <v>186****6788</v>
      </c>
      <c r="Q496" s="12" t="s">
        <v>48</v>
      </c>
    </row>
    <row r="497" s="1" customFormat="1" spans="1:17">
      <c r="A497" s="8" t="s">
        <v>890</v>
      </c>
      <c r="B497" s="8" t="s">
        <v>880</v>
      </c>
      <c r="C497" s="8" t="s">
        <v>891</v>
      </c>
      <c r="D497" s="8" t="s">
        <v>45</v>
      </c>
      <c r="E497" s="8" t="s">
        <v>45</v>
      </c>
      <c r="F497" s="8" t="s">
        <v>46</v>
      </c>
      <c r="G497" s="8" t="s">
        <v>26</v>
      </c>
      <c r="H497" s="8" t="s">
        <v>27</v>
      </c>
      <c r="I497" s="8" t="s">
        <v>28</v>
      </c>
      <c r="J497" s="8" t="s">
        <v>47</v>
      </c>
      <c r="K497" s="8" t="s">
        <v>30</v>
      </c>
      <c r="L497" s="8" t="s">
        <v>47</v>
      </c>
      <c r="M497" s="8" t="s">
        <v>46</v>
      </c>
      <c r="N497" s="8" t="s">
        <v>31</v>
      </c>
      <c r="O497" s="1" t="str">
        <f>VLOOKUP(C497,[1]Sheet2!A:C,2,FALSE)</f>
        <v>取宝-物流服务</v>
      </c>
      <c r="P497" s="1" t="str">
        <f>VLOOKUP(C497,[1]Sheet2!G:H,2,FALSE)</f>
        <v>186****6788</v>
      </c>
      <c r="Q497" s="12" t="s">
        <v>48</v>
      </c>
    </row>
    <row r="498" s="1" customFormat="1" spans="1:17">
      <c r="A498" s="8" t="s">
        <v>892</v>
      </c>
      <c r="B498" s="8" t="s">
        <v>880</v>
      </c>
      <c r="C498" s="8" t="s">
        <v>891</v>
      </c>
      <c r="D498" s="8" t="s">
        <v>45</v>
      </c>
      <c r="E498" s="8" t="s">
        <v>45</v>
      </c>
      <c r="F498" s="8" t="s">
        <v>46</v>
      </c>
      <c r="G498" s="8" t="s">
        <v>34</v>
      </c>
      <c r="H498" s="8" t="s">
        <v>27</v>
      </c>
      <c r="I498" s="8" t="s">
        <v>28</v>
      </c>
      <c r="J498" s="8" t="s">
        <v>55</v>
      </c>
      <c r="K498" s="8" t="s">
        <v>30</v>
      </c>
      <c r="L498" s="8" t="s">
        <v>55</v>
      </c>
      <c r="M498" s="8" t="s">
        <v>46</v>
      </c>
      <c r="N498" s="8" t="s">
        <v>36</v>
      </c>
      <c r="O498" s="1" t="str">
        <f>VLOOKUP(C498,[1]Sheet2!A:C,2,FALSE)</f>
        <v>取宝-物流服务</v>
      </c>
      <c r="P498" s="1" t="str">
        <f>VLOOKUP(C498,[1]Sheet2!G:H,2,FALSE)</f>
        <v>186****6788</v>
      </c>
      <c r="Q498" s="12" t="s">
        <v>48</v>
      </c>
    </row>
    <row r="499" s="1" customFormat="1" ht="15" spans="1:17">
      <c r="A499" s="8" t="s">
        <v>893</v>
      </c>
      <c r="B499" s="8" t="s">
        <v>880</v>
      </c>
      <c r="C499" s="8" t="s">
        <v>894</v>
      </c>
      <c r="D499" s="8" t="s">
        <v>674</v>
      </c>
      <c r="E499" s="8" t="s">
        <v>674</v>
      </c>
      <c r="F499" s="8" t="s">
        <v>895</v>
      </c>
      <c r="G499" s="8" t="s">
        <v>725</v>
      </c>
      <c r="H499" s="8" t="s">
        <v>27</v>
      </c>
      <c r="I499" s="8" t="s">
        <v>28</v>
      </c>
      <c r="J499" s="8" t="s">
        <v>95</v>
      </c>
      <c r="K499" s="8" t="s">
        <v>30</v>
      </c>
      <c r="L499" s="8" t="s">
        <v>95</v>
      </c>
      <c r="M499" s="8" t="s">
        <v>896</v>
      </c>
      <c r="N499" s="8" t="s">
        <v>31</v>
      </c>
      <c r="O499" s="1" t="str">
        <f>VLOOKUP(C499,[1]Sheet2!A:C,2,FALSE)</f>
        <v>立充充电宝取机柜-物流服务</v>
      </c>
      <c r="P499" s="1" t="str">
        <f>VLOOKUP(C499,[1]Sheet2!G:H,2,FALSE)</f>
        <v>155****0885</v>
      </c>
      <c r="Q499" s="11" t="s">
        <v>895</v>
      </c>
    </row>
    <row r="500" s="1" customFormat="1" ht="15" spans="1:17">
      <c r="A500" s="8" t="s">
        <v>897</v>
      </c>
      <c r="B500" s="8" t="s">
        <v>880</v>
      </c>
      <c r="C500" s="8" t="s">
        <v>894</v>
      </c>
      <c r="D500" s="8" t="s">
        <v>674</v>
      </c>
      <c r="E500" s="8" t="s">
        <v>674</v>
      </c>
      <c r="F500" s="8" t="s">
        <v>895</v>
      </c>
      <c r="G500" s="8" t="s">
        <v>34</v>
      </c>
      <c r="H500" s="8" t="s">
        <v>27</v>
      </c>
      <c r="I500" s="8" t="s">
        <v>28</v>
      </c>
      <c r="J500" s="8" t="s">
        <v>97</v>
      </c>
      <c r="K500" s="8" t="s">
        <v>30</v>
      </c>
      <c r="L500" s="8" t="s">
        <v>97</v>
      </c>
      <c r="M500" s="8" t="s">
        <v>896</v>
      </c>
      <c r="N500" s="8" t="s">
        <v>36</v>
      </c>
      <c r="O500" s="1" t="str">
        <f>VLOOKUP(C500,[1]Sheet2!A:C,2,FALSE)</f>
        <v>立充充电宝取机柜-物流服务</v>
      </c>
      <c r="P500" s="1" t="str">
        <f>VLOOKUP(C500,[1]Sheet2!G:H,2,FALSE)</f>
        <v>155****0885</v>
      </c>
      <c r="Q500" s="11" t="s">
        <v>895</v>
      </c>
    </row>
    <row r="501" s="1" customFormat="1" spans="1:17">
      <c r="A501" s="8" t="s">
        <v>898</v>
      </c>
      <c r="B501" s="13"/>
      <c r="C501" s="13"/>
      <c r="D501" s="13"/>
      <c r="E501" s="13"/>
      <c r="F501" s="13"/>
      <c r="G501" s="13"/>
      <c r="H501" s="13"/>
      <c r="I501" s="14"/>
      <c r="J501" s="8" t="s">
        <v>899</v>
      </c>
      <c r="K501" s="8" t="s">
        <v>30</v>
      </c>
      <c r="L501" s="8" t="s">
        <v>899</v>
      </c>
      <c r="M501" s="8" t="s">
        <v>900</v>
      </c>
      <c r="N501" s="8" t="s">
        <v>900</v>
      </c>
      <c r="Q501" s="12"/>
    </row>
    <row r="505" ht="15.15" spans="1:17">
      <c r="B505" s="15" t="s">
        <v>901</v>
      </c>
    </row>
    <row r="506" ht="15.15"/>
    <row r="507" ht="15.15" spans="1:17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</row>
    <row r="508" ht="15.15"/>
    <row r="509" spans="1:17">
      <c r="B509" s="17" t="s">
        <v>902</v>
      </c>
      <c r="D509" s="17" t="s">
        <v>362</v>
      </c>
      <c r="H509" s="17" t="s">
        <v>903</v>
      </c>
      <c r="J509" s="17" t="s">
        <v>904</v>
      </c>
    </row>
    <row r="510" spans="1:17">
      <c r="B510" s="17" t="s">
        <v>905</v>
      </c>
      <c r="D510" s="17" t="s">
        <v>906</v>
      </c>
      <c r="H510" s="17" t="s">
        <v>907</v>
      </c>
      <c r="J510" s="17" t="s">
        <v>908</v>
      </c>
    </row>
    <row r="511" spans="1:17">
      <c r="B511" s="17" t="s">
        <v>909</v>
      </c>
      <c r="D511" s="17" t="s">
        <v>910</v>
      </c>
      <c r="H511" s="17" t="s">
        <v>911</v>
      </c>
      <c r="J511" s="17" t="s">
        <v>912</v>
      </c>
    </row>
    <row r="512" spans="1:17">
      <c r="B512" s="18" t="s">
        <v>913</v>
      </c>
      <c r="D512" s="18" t="s">
        <v>914</v>
      </c>
      <c r="H512" s="17" t="s">
        <v>915</v>
      </c>
      <c r="J512" s="17" t="s">
        <v>916</v>
      </c>
    </row>
    <row r="515" ht="15.6" spans="2:12">
      <c r="B515" s="19" t="s">
        <v>917</v>
      </c>
      <c r="E515" s="20" t="s">
        <v>918</v>
      </c>
    </row>
    <row r="516" spans="2:12">
      <c r="B516" s="17" t="s">
        <v>919</v>
      </c>
      <c r="E516" s="21" t="s">
        <v>918</v>
      </c>
    </row>
    <row r="517" spans="2:12">
      <c r="B517" s="17" t="s">
        <v>920</v>
      </c>
      <c r="E517" s="21" t="s">
        <v>921</v>
      </c>
    </row>
    <row r="520" ht="15.15" spans="2:12">
      <c r="B520" s="22" t="s">
        <v>922</v>
      </c>
      <c r="C520" s="23"/>
      <c r="D520" s="24" t="s">
        <v>923</v>
      </c>
      <c r="E520" s="23"/>
      <c r="F520" s="23"/>
      <c r="G520" s="24" t="s">
        <v>11</v>
      </c>
      <c r="H520" s="23"/>
      <c r="I520" s="23"/>
      <c r="J520" s="24" t="s">
        <v>12</v>
      </c>
      <c r="K520" s="23"/>
      <c r="L520" s="23"/>
    </row>
    <row r="521" spans="2:12">
      <c r="B521" s="25" t="s">
        <v>924</v>
      </c>
      <c r="C521" s="26"/>
      <c r="D521" s="27">
        <v>4210.5</v>
      </c>
      <c r="E521" s="26"/>
      <c r="F521" s="26"/>
      <c r="G521" s="27">
        <v>0</v>
      </c>
      <c r="H521" s="26"/>
      <c r="I521" s="26"/>
      <c r="J521" s="27">
        <v>4210.5</v>
      </c>
      <c r="K521" s="26"/>
      <c r="L521" s="26"/>
    </row>
    <row r="522" ht="15.15" spans="2:12">
      <c r="B522" s="22" t="s">
        <v>925</v>
      </c>
      <c r="C522" s="23"/>
      <c r="D522" s="28">
        <v>4210.5</v>
      </c>
      <c r="E522" s="23"/>
      <c r="F522" s="23"/>
      <c r="G522" s="28">
        <v>0</v>
      </c>
      <c r="H522" s="23"/>
      <c r="I522" s="23"/>
      <c r="J522" s="28">
        <v>4210.5</v>
      </c>
      <c r="K522" s="23"/>
      <c r="L522" s="23"/>
    </row>
    <row r="525" spans="2:12">
      <c r="B525" s="18" t="s">
        <v>926</v>
      </c>
    </row>
    <row r="526" spans="2:12">
      <c r="B526" s="29" t="s">
        <v>927</v>
      </c>
    </row>
    <row r="527" spans="2:12">
      <c r="B527" s="30" t="s">
        <v>928</v>
      </c>
      <c r="C527" s="30" t="s">
        <v>929</v>
      </c>
      <c r="D527" s="26"/>
      <c r="E527" s="26"/>
      <c r="F527" s="26"/>
    </row>
    <row r="528" spans="2:12">
      <c r="B528" s="30" t="s">
        <v>930</v>
      </c>
      <c r="C528" s="30" t="s">
        <v>931</v>
      </c>
      <c r="D528" s="26"/>
      <c r="E528" s="26"/>
      <c r="F528" s="26"/>
    </row>
    <row r="529" spans="2:12">
      <c r="B529" s="30" t="s">
        <v>932</v>
      </c>
      <c r="C529" s="30" t="s">
        <v>933</v>
      </c>
      <c r="D529" s="26"/>
      <c r="E529" s="26"/>
      <c r="F529" s="26"/>
    </row>
    <row r="532" spans="2:12">
      <c r="B532" s="18" t="s">
        <v>934</v>
      </c>
    </row>
    <row r="533" spans="2:12">
      <c r="B533" s="30" t="s">
        <v>935</v>
      </c>
      <c r="C533" s="30" t="s">
        <v>936</v>
      </c>
      <c r="D533" s="26"/>
      <c r="E533" s="26"/>
      <c r="F533" s="26"/>
      <c r="H533" s="30" t="s">
        <v>937</v>
      </c>
      <c r="I533" s="30" t="s">
        <v>938</v>
      </c>
      <c r="J533" s="26"/>
      <c r="K533" s="26"/>
      <c r="L533" s="26"/>
    </row>
  </sheetData>
  <mergeCells count="45">
    <mergeCell ref="A1:N1"/>
    <mergeCell ref="A501:I501"/>
    <mergeCell ref="B509:C509"/>
    <mergeCell ref="D509:G509"/>
    <mergeCell ref="H509:I509"/>
    <mergeCell ref="J509:L509"/>
    <mergeCell ref="B510:C510"/>
    <mergeCell ref="D510:G510"/>
    <mergeCell ref="H510:I510"/>
    <mergeCell ref="J510:L510"/>
    <mergeCell ref="B511:C511"/>
    <mergeCell ref="D511:G511"/>
    <mergeCell ref="H511:I511"/>
    <mergeCell ref="J511:L511"/>
    <mergeCell ref="B512:C512"/>
    <mergeCell ref="D512:G512"/>
    <mergeCell ref="H512:I512"/>
    <mergeCell ref="J512:L512"/>
    <mergeCell ref="B515:D515"/>
    <mergeCell ref="E515:F515"/>
    <mergeCell ref="B516:D516"/>
    <mergeCell ref="E516:F516"/>
    <mergeCell ref="B517:D517"/>
    <mergeCell ref="E517:F517"/>
    <mergeCell ref="B520:C520"/>
    <mergeCell ref="D520:F520"/>
    <mergeCell ref="G520:I520"/>
    <mergeCell ref="J520:L520"/>
    <mergeCell ref="B521:C521"/>
    <mergeCell ref="D521:F521"/>
    <mergeCell ref="G521:I521"/>
    <mergeCell ref="J521:L521"/>
    <mergeCell ref="B522:C522"/>
    <mergeCell ref="D522:F522"/>
    <mergeCell ref="G522:I522"/>
    <mergeCell ref="J522:L522"/>
    <mergeCell ref="B525:L525"/>
    <mergeCell ref="B526:F526"/>
    <mergeCell ref="C527:F527"/>
    <mergeCell ref="C528:F528"/>
    <mergeCell ref="C529:F529"/>
    <mergeCell ref="B532:L532"/>
    <mergeCell ref="C533:F533"/>
    <mergeCell ref="I533:L533"/>
    <mergeCell ref="B505:L50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topLeftCell="A58" workbookViewId="0">
      <selection activeCell="B42" sqref="B42:L86"/>
    </sheetView>
  </sheetViews>
  <sheetFormatPr defaultColWidth="9" defaultRowHeight="14.4"/>
  <cols>
    <col min="1" max="2" width="9" style="1"/>
    <col min="3" max="3" width="16" style="1" customWidth="1"/>
    <col min="4" max="14" width="9" style="1"/>
    <col min="15" max="15" width="28.7777777777778" style="1" customWidth="1"/>
    <col min="16" max="16" width="13" style="1" customWidth="1"/>
    <col min="17" max="17" width="28.2222222222222" style="1" customWidth="1"/>
    <col min="18" max="16384" width="9" style="1"/>
  </cols>
  <sheetData>
    <row r="1" s="1" customFormat="1" ht="15.6" spans="1:19">
      <c r="A1" s="2" t="s">
        <v>939</v>
      </c>
    </row>
    <row r="2" s="1" customFormat="1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5" t="s">
        <v>16</v>
      </c>
      <c r="Q2" s="6" t="s">
        <v>17</v>
      </c>
      <c r="R2" s="7" t="s">
        <v>18</v>
      </c>
      <c r="S2" s="3" t="s">
        <v>19</v>
      </c>
    </row>
    <row r="3" s="1" customFormat="1" ht="15" spans="1:19">
      <c r="A3" s="8" t="s">
        <v>20</v>
      </c>
      <c r="B3" s="8" t="s">
        <v>940</v>
      </c>
      <c r="C3" s="8" t="s">
        <v>883</v>
      </c>
      <c r="D3" s="8" t="s">
        <v>45</v>
      </c>
      <c r="E3" s="8" t="s">
        <v>45</v>
      </c>
      <c r="F3" s="8" t="s">
        <v>46</v>
      </c>
      <c r="G3" s="8" t="s">
        <v>34</v>
      </c>
      <c r="H3" s="8" t="s">
        <v>27</v>
      </c>
      <c r="I3" s="8" t="s">
        <v>69</v>
      </c>
      <c r="J3" s="8" t="s">
        <v>70</v>
      </c>
      <c r="K3" s="8" t="s">
        <v>30</v>
      </c>
      <c r="L3" s="8" t="s">
        <v>70</v>
      </c>
      <c r="M3" s="8" t="s">
        <v>46</v>
      </c>
      <c r="N3" s="8" t="s">
        <v>71</v>
      </c>
      <c r="O3" s="1" t="str">
        <f>VLOOKUP(C3,[2]Sheet2!A:C,2,FALSE)</f>
        <v>取宝-物流服务</v>
      </c>
      <c r="P3" s="1" t="str">
        <f>VLOOKUP(C3,[2]Sheet2!G:H,2,FALSE)</f>
        <v>186****6788</v>
      </c>
      <c r="Q3" s="9" t="s">
        <v>48</v>
      </c>
    </row>
    <row r="4" s="1" customFormat="1" ht="15" spans="1:19">
      <c r="A4" s="8" t="s">
        <v>33</v>
      </c>
      <c r="B4" s="8" t="s">
        <v>940</v>
      </c>
      <c r="C4" s="8" t="s">
        <v>886</v>
      </c>
      <c r="D4" s="8" t="s">
        <v>45</v>
      </c>
      <c r="E4" s="8" t="s">
        <v>45</v>
      </c>
      <c r="F4" s="8" t="s">
        <v>46</v>
      </c>
      <c r="G4" s="8" t="s">
        <v>34</v>
      </c>
      <c r="H4" s="8" t="s">
        <v>27</v>
      </c>
      <c r="I4" s="8" t="s">
        <v>69</v>
      </c>
      <c r="J4" s="8" t="s">
        <v>84</v>
      </c>
      <c r="K4" s="8" t="s">
        <v>30</v>
      </c>
      <c r="L4" s="8" t="s">
        <v>84</v>
      </c>
      <c r="M4" s="8" t="s">
        <v>46</v>
      </c>
      <c r="N4" s="8" t="s">
        <v>71</v>
      </c>
      <c r="O4" s="1" t="str">
        <f>VLOOKUP(C4,[2]Sheet2!A:C,2,FALSE)</f>
        <v>立充充电宝取机柜-物流服务</v>
      </c>
      <c r="P4" s="1" t="str">
        <f>VLOOKUP(C4,[2]Sheet2!G:H,2,FALSE)</f>
        <v>186****6788</v>
      </c>
      <c r="Q4" s="9" t="s">
        <v>48</v>
      </c>
    </row>
    <row r="5" s="1" customFormat="1" ht="15.6" spans="1:19">
      <c r="A5" s="8" t="s">
        <v>37</v>
      </c>
      <c r="B5" s="8" t="s">
        <v>940</v>
      </c>
      <c r="C5" s="8" t="s">
        <v>865</v>
      </c>
      <c r="D5" s="8" t="s">
        <v>45</v>
      </c>
      <c r="E5" s="8" t="s">
        <v>45</v>
      </c>
      <c r="F5" s="8" t="s">
        <v>46</v>
      </c>
      <c r="G5" s="8" t="s">
        <v>34</v>
      </c>
      <c r="H5" s="8" t="s">
        <v>27</v>
      </c>
      <c r="I5" s="8" t="s">
        <v>69</v>
      </c>
      <c r="J5" s="8" t="s">
        <v>70</v>
      </c>
      <c r="K5" s="8" t="s">
        <v>30</v>
      </c>
      <c r="L5" s="8" t="s">
        <v>70</v>
      </c>
      <c r="M5" s="8" t="s">
        <v>46</v>
      </c>
      <c r="N5" s="8" t="s">
        <v>71</v>
      </c>
      <c r="O5" s="10" t="s">
        <v>941</v>
      </c>
      <c r="P5" s="1" t="str">
        <f>VLOOKUP(C5,[2]Sheet2!G:H,2,FALSE)</f>
        <v>186****6788</v>
      </c>
      <c r="Q5" s="9" t="s">
        <v>48</v>
      </c>
    </row>
    <row r="6" s="1" customFormat="1" ht="15" spans="1:19">
      <c r="A6" s="8" t="s">
        <v>41</v>
      </c>
      <c r="B6" s="8" t="s">
        <v>940</v>
      </c>
      <c r="C6" s="8" t="s">
        <v>873</v>
      </c>
      <c r="D6" s="8" t="s">
        <v>45</v>
      </c>
      <c r="E6" s="8" t="s">
        <v>45</v>
      </c>
      <c r="F6" s="8" t="s">
        <v>46</v>
      </c>
      <c r="G6" s="8" t="s">
        <v>34</v>
      </c>
      <c r="H6" s="8" t="s">
        <v>27</v>
      </c>
      <c r="I6" s="8" t="s">
        <v>69</v>
      </c>
      <c r="J6" s="8" t="s">
        <v>84</v>
      </c>
      <c r="K6" s="8" t="s">
        <v>30</v>
      </c>
      <c r="L6" s="8" t="s">
        <v>84</v>
      </c>
      <c r="M6" s="8" t="s">
        <v>46</v>
      </c>
      <c r="N6" s="8" t="s">
        <v>71</v>
      </c>
      <c r="O6" s="1" t="s">
        <v>874</v>
      </c>
      <c r="P6" s="1" t="str">
        <f>VLOOKUP(C6,[2]Sheet2!G:H,2,FALSE)</f>
        <v>186****6788</v>
      </c>
      <c r="Q6" s="9" t="s">
        <v>48</v>
      </c>
    </row>
    <row r="7" s="1" customFormat="1" ht="15" spans="1:19">
      <c r="A7" s="8" t="s">
        <v>43</v>
      </c>
      <c r="B7" s="8" t="s">
        <v>940</v>
      </c>
      <c r="C7" s="8" t="s">
        <v>878</v>
      </c>
      <c r="D7" s="8" t="s">
        <v>45</v>
      </c>
      <c r="E7" s="8" t="s">
        <v>45</v>
      </c>
      <c r="F7" s="8" t="s">
        <v>46</v>
      </c>
      <c r="G7" s="8" t="s">
        <v>34</v>
      </c>
      <c r="H7" s="8" t="s">
        <v>27</v>
      </c>
      <c r="I7" s="8" t="s">
        <v>69</v>
      </c>
      <c r="J7" s="8" t="s">
        <v>70</v>
      </c>
      <c r="K7" s="8" t="s">
        <v>30</v>
      </c>
      <c r="L7" s="8" t="s">
        <v>70</v>
      </c>
      <c r="M7" s="8" t="s">
        <v>46</v>
      </c>
      <c r="N7" s="8" t="s">
        <v>71</v>
      </c>
      <c r="O7" s="1" t="str">
        <f>VLOOKUP(C7,[2]Sheet2!A:C,2,FALSE)</f>
        <v>取宝-物流服务</v>
      </c>
      <c r="P7" s="1" t="str">
        <f>VLOOKUP(C7,[2]Sheet2!G:H,2,FALSE)</f>
        <v>186****6788</v>
      </c>
      <c r="Q7" s="9" t="s">
        <v>48</v>
      </c>
    </row>
    <row r="8" s="1" customFormat="1" ht="15.6" spans="1:19">
      <c r="A8" s="8" t="s">
        <v>49</v>
      </c>
      <c r="B8" s="8" t="s">
        <v>940</v>
      </c>
      <c r="C8" s="8" t="s">
        <v>891</v>
      </c>
      <c r="D8" s="8" t="s">
        <v>45</v>
      </c>
      <c r="E8" s="8" t="s">
        <v>45</v>
      </c>
      <c r="F8" s="8" t="s">
        <v>46</v>
      </c>
      <c r="G8" s="8" t="s">
        <v>34</v>
      </c>
      <c r="H8" s="8" t="s">
        <v>27</v>
      </c>
      <c r="I8" s="8" t="s">
        <v>69</v>
      </c>
      <c r="J8" s="8" t="s">
        <v>70</v>
      </c>
      <c r="K8" s="8" t="s">
        <v>30</v>
      </c>
      <c r="L8" s="8" t="s">
        <v>70</v>
      </c>
      <c r="M8" s="8" t="s">
        <v>46</v>
      </c>
      <c r="N8" s="8" t="s">
        <v>71</v>
      </c>
      <c r="O8" s="10" t="s">
        <v>941</v>
      </c>
      <c r="P8" s="1" t="str">
        <f>VLOOKUP(C8,[2]Sheet2!G:H,2,FALSE)</f>
        <v>186****6788</v>
      </c>
      <c r="Q8" s="9" t="s">
        <v>48</v>
      </c>
    </row>
    <row r="9" s="1" customFormat="1" ht="15" spans="1:19">
      <c r="A9" s="8" t="s">
        <v>50</v>
      </c>
      <c r="B9" s="8" t="s">
        <v>940</v>
      </c>
      <c r="C9" s="8" t="s">
        <v>894</v>
      </c>
      <c r="D9" s="8" t="s">
        <v>674</v>
      </c>
      <c r="E9" s="8" t="s">
        <v>674</v>
      </c>
      <c r="F9" s="8" t="s">
        <v>895</v>
      </c>
      <c r="G9" s="8" t="s">
        <v>34</v>
      </c>
      <c r="H9" s="8" t="s">
        <v>27</v>
      </c>
      <c r="I9" s="8" t="s">
        <v>28</v>
      </c>
      <c r="J9" s="8" t="s">
        <v>84</v>
      </c>
      <c r="K9" s="8" t="s">
        <v>30</v>
      </c>
      <c r="L9" s="8" t="s">
        <v>84</v>
      </c>
      <c r="M9" s="8" t="s">
        <v>896</v>
      </c>
      <c r="N9" s="8" t="s">
        <v>71</v>
      </c>
      <c r="O9" s="1" t="s">
        <v>874</v>
      </c>
      <c r="P9" s="1" t="str">
        <f>VLOOKUP(C9,[2]Sheet2!G:H,2,FALSE)</f>
        <v>155****0885</v>
      </c>
      <c r="Q9" s="11" t="s">
        <v>895</v>
      </c>
    </row>
    <row r="10" s="1" customFormat="1" ht="15" spans="1:19">
      <c r="A10" s="8" t="s">
        <v>52</v>
      </c>
      <c r="B10" s="8" t="s">
        <v>942</v>
      </c>
      <c r="C10" s="8" t="s">
        <v>943</v>
      </c>
      <c r="D10" s="8" t="s">
        <v>45</v>
      </c>
      <c r="E10" s="8" t="s">
        <v>45</v>
      </c>
      <c r="F10" s="8" t="s">
        <v>46</v>
      </c>
      <c r="G10" s="8" t="s">
        <v>325</v>
      </c>
      <c r="H10" s="8" t="s">
        <v>27</v>
      </c>
      <c r="I10" s="8" t="s">
        <v>28</v>
      </c>
      <c r="J10" s="8" t="s">
        <v>29</v>
      </c>
      <c r="K10" s="8" t="s">
        <v>30</v>
      </c>
      <c r="L10" s="8" t="s">
        <v>29</v>
      </c>
      <c r="M10" s="8" t="s">
        <v>46</v>
      </c>
      <c r="N10" s="8" t="s">
        <v>31</v>
      </c>
      <c r="O10" s="1" t="str">
        <f>VLOOKUP(C10,[2]Sheet2!A:C,2,FALSE)</f>
        <v>立充充电宝取机柜-物流服务</v>
      </c>
      <c r="P10" s="1" t="str">
        <f>VLOOKUP(C10,[2]Sheet2!G:H,2,FALSE)</f>
        <v>186****6788</v>
      </c>
      <c r="Q10" s="9" t="s">
        <v>48</v>
      </c>
    </row>
    <row r="11" s="1" customFormat="1" ht="15" spans="1:19">
      <c r="A11" s="8" t="s">
        <v>54</v>
      </c>
      <c r="B11" s="8" t="s">
        <v>942</v>
      </c>
      <c r="C11" s="8" t="s">
        <v>943</v>
      </c>
      <c r="D11" s="8" t="s">
        <v>45</v>
      </c>
      <c r="E11" s="8" t="s">
        <v>45</v>
      </c>
      <c r="F11" s="8" t="s">
        <v>46</v>
      </c>
      <c r="G11" s="8" t="s">
        <v>34</v>
      </c>
      <c r="H11" s="8" t="s">
        <v>27</v>
      </c>
      <c r="I11" s="8" t="s">
        <v>28</v>
      </c>
      <c r="J11" s="8" t="s">
        <v>97</v>
      </c>
      <c r="K11" s="8" t="s">
        <v>30</v>
      </c>
      <c r="L11" s="8" t="s">
        <v>97</v>
      </c>
      <c r="M11" s="8" t="s">
        <v>46</v>
      </c>
      <c r="N11" s="8" t="s">
        <v>36</v>
      </c>
      <c r="O11" s="1" t="str">
        <f>VLOOKUP(C11,[2]Sheet2!A:C,2,FALSE)</f>
        <v>立充充电宝取机柜-物流服务</v>
      </c>
      <c r="P11" s="1" t="str">
        <f>VLOOKUP(C11,[2]Sheet2!G:H,2,FALSE)</f>
        <v>186****6788</v>
      </c>
      <c r="Q11" s="9" t="s">
        <v>48</v>
      </c>
    </row>
    <row r="12" s="1" customFormat="1" ht="15" spans="1:19">
      <c r="A12" s="8" t="s">
        <v>56</v>
      </c>
      <c r="B12" s="8" t="s">
        <v>942</v>
      </c>
      <c r="C12" s="8" t="s">
        <v>944</v>
      </c>
      <c r="D12" s="8" t="s">
        <v>45</v>
      </c>
      <c r="E12" s="8" t="s">
        <v>45</v>
      </c>
      <c r="F12" s="8" t="s">
        <v>46</v>
      </c>
      <c r="G12" s="8" t="s">
        <v>26</v>
      </c>
      <c r="H12" s="8" t="s">
        <v>27</v>
      </c>
      <c r="I12" s="8" t="s">
        <v>28</v>
      </c>
      <c r="J12" s="8" t="s">
        <v>47</v>
      </c>
      <c r="K12" s="8" t="s">
        <v>30</v>
      </c>
      <c r="L12" s="8" t="s">
        <v>47</v>
      </c>
      <c r="M12" s="8" t="s">
        <v>46</v>
      </c>
      <c r="N12" s="8" t="s">
        <v>31</v>
      </c>
      <c r="O12" s="1" t="str">
        <f>VLOOKUP(C12,[2]Sheet2!A:C,2,FALSE)</f>
        <v>取宝-物流服务</v>
      </c>
      <c r="P12" s="1" t="str">
        <f>VLOOKUP(C12,[2]Sheet2!G:H,2,FALSE)</f>
        <v>186****6788</v>
      </c>
      <c r="Q12" s="9" t="s">
        <v>48</v>
      </c>
    </row>
    <row r="13" s="1" customFormat="1" ht="15" spans="1:19">
      <c r="A13" s="8" t="s">
        <v>58</v>
      </c>
      <c r="B13" s="8" t="s">
        <v>942</v>
      </c>
      <c r="C13" s="8" t="s">
        <v>945</v>
      </c>
      <c r="D13" s="8" t="s">
        <v>45</v>
      </c>
      <c r="E13" s="8" t="s">
        <v>45</v>
      </c>
      <c r="F13" s="8" t="s">
        <v>946</v>
      </c>
      <c r="G13" s="8" t="s">
        <v>26</v>
      </c>
      <c r="H13" s="8" t="s">
        <v>27</v>
      </c>
      <c r="I13" s="8" t="s">
        <v>28</v>
      </c>
      <c r="J13" s="8" t="s">
        <v>47</v>
      </c>
      <c r="K13" s="8" t="s">
        <v>30</v>
      </c>
      <c r="L13" s="8" t="s">
        <v>47</v>
      </c>
      <c r="M13" s="8" t="s">
        <v>46</v>
      </c>
      <c r="N13" s="8" t="s">
        <v>31</v>
      </c>
      <c r="O13" s="1" t="str">
        <f>VLOOKUP(C13,[2]Sheet2!A:C,2,FALSE)</f>
        <v>补宝-物流服务</v>
      </c>
      <c r="P13" s="1" t="str">
        <f>VLOOKUP(C13,[2]Sheet2!G:H,2,FALSE)</f>
        <v>186****6788</v>
      </c>
      <c r="Q13" s="9" t="s">
        <v>48</v>
      </c>
    </row>
    <row r="14" s="1" customFormat="1" ht="15" spans="1:19">
      <c r="A14" s="8" t="s">
        <v>59</v>
      </c>
      <c r="B14" s="8" t="s">
        <v>942</v>
      </c>
      <c r="C14" s="8" t="s">
        <v>947</v>
      </c>
      <c r="D14" s="8" t="s">
        <v>45</v>
      </c>
      <c r="E14" s="8" t="s">
        <v>45</v>
      </c>
      <c r="F14" s="8" t="s">
        <v>948</v>
      </c>
      <c r="G14" s="8" t="s">
        <v>26</v>
      </c>
      <c r="H14" s="8" t="s">
        <v>27</v>
      </c>
      <c r="I14" s="8" t="s">
        <v>28</v>
      </c>
      <c r="J14" s="8" t="s">
        <v>47</v>
      </c>
      <c r="K14" s="8" t="s">
        <v>30</v>
      </c>
      <c r="L14" s="8" t="s">
        <v>47</v>
      </c>
      <c r="M14" s="8" t="s">
        <v>46</v>
      </c>
      <c r="N14" s="8" t="s">
        <v>31</v>
      </c>
      <c r="O14" s="1" t="str">
        <f>VLOOKUP(C14,[2]Sheet2!A:C,2,FALSE)</f>
        <v>补宝-物流服务</v>
      </c>
      <c r="P14" s="1" t="str">
        <f>VLOOKUP(C14,[2]Sheet2!G:H,2,FALSE)</f>
        <v>186****6788</v>
      </c>
      <c r="Q14" s="9" t="s">
        <v>48</v>
      </c>
    </row>
    <row r="15" s="1" customFormat="1" ht="15" spans="1:19">
      <c r="A15" s="8" t="s">
        <v>61</v>
      </c>
      <c r="B15" s="8" t="s">
        <v>942</v>
      </c>
      <c r="C15" s="8" t="s">
        <v>949</v>
      </c>
      <c r="D15" s="8" t="s">
        <v>45</v>
      </c>
      <c r="E15" s="8" t="s">
        <v>45</v>
      </c>
      <c r="F15" s="8" t="s">
        <v>946</v>
      </c>
      <c r="G15" s="8" t="s">
        <v>26</v>
      </c>
      <c r="H15" s="8" t="s">
        <v>27</v>
      </c>
      <c r="I15" s="8" t="s">
        <v>28</v>
      </c>
      <c r="J15" s="8" t="s">
        <v>47</v>
      </c>
      <c r="K15" s="8" t="s">
        <v>30</v>
      </c>
      <c r="L15" s="8" t="s">
        <v>47</v>
      </c>
      <c r="M15" s="8" t="s">
        <v>46</v>
      </c>
      <c r="N15" s="8" t="s">
        <v>31</v>
      </c>
      <c r="O15" s="1" t="str">
        <f>VLOOKUP(C15,[2]Sheet2!A:C,2,FALSE)</f>
        <v>补宝-物流服务</v>
      </c>
      <c r="P15" s="1" t="str">
        <f>VLOOKUP(C15,[2]Sheet2!G:H,2,FALSE)</f>
        <v>186****6788</v>
      </c>
      <c r="Q15" s="9" t="s">
        <v>48</v>
      </c>
    </row>
    <row r="16" s="1" customFormat="1" ht="15" spans="1:19">
      <c r="A16" s="8" t="s">
        <v>62</v>
      </c>
      <c r="B16" s="8" t="s">
        <v>950</v>
      </c>
      <c r="C16" s="8" t="s">
        <v>943</v>
      </c>
      <c r="D16" s="8" t="s">
        <v>45</v>
      </c>
      <c r="E16" s="8" t="s">
        <v>45</v>
      </c>
      <c r="F16" s="8" t="s">
        <v>46</v>
      </c>
      <c r="G16" s="8" t="s">
        <v>34</v>
      </c>
      <c r="H16" s="8" t="s">
        <v>27</v>
      </c>
      <c r="I16" s="8" t="s">
        <v>69</v>
      </c>
      <c r="J16" s="8" t="s">
        <v>84</v>
      </c>
      <c r="K16" s="8" t="s">
        <v>30</v>
      </c>
      <c r="L16" s="8" t="s">
        <v>84</v>
      </c>
      <c r="M16" s="8" t="s">
        <v>46</v>
      </c>
      <c r="N16" s="8" t="s">
        <v>71</v>
      </c>
      <c r="O16" s="1" t="str">
        <f>VLOOKUP(C16,[2]Sheet2!A:C,2,FALSE)</f>
        <v>立充充电宝取机柜-物流服务</v>
      </c>
      <c r="P16" s="1" t="str">
        <f>VLOOKUP(C16,[2]Sheet2!G:H,2,FALSE)</f>
        <v>186****6788</v>
      </c>
      <c r="Q16" s="9" t="s">
        <v>48</v>
      </c>
    </row>
    <row r="17" s="1" customFormat="1" ht="15" spans="1:17">
      <c r="A17" s="8" t="s">
        <v>65</v>
      </c>
      <c r="B17" s="8" t="s">
        <v>950</v>
      </c>
      <c r="C17" s="8" t="s">
        <v>944</v>
      </c>
      <c r="D17" s="8" t="s">
        <v>45</v>
      </c>
      <c r="E17" s="8" t="s">
        <v>45</v>
      </c>
      <c r="F17" s="8" t="s">
        <v>46</v>
      </c>
      <c r="G17" s="8" t="s">
        <v>34</v>
      </c>
      <c r="H17" s="8" t="s">
        <v>27</v>
      </c>
      <c r="I17" s="8" t="s">
        <v>69</v>
      </c>
      <c r="J17" s="8" t="s">
        <v>70</v>
      </c>
      <c r="K17" s="8" t="s">
        <v>30</v>
      </c>
      <c r="L17" s="8" t="s">
        <v>70</v>
      </c>
      <c r="M17" s="8" t="s">
        <v>46</v>
      </c>
      <c r="N17" s="8" t="s">
        <v>71</v>
      </c>
      <c r="O17" s="1" t="str">
        <f>VLOOKUP(C17,[2]Sheet2!A:C,2,FALSE)</f>
        <v>取宝-物流服务</v>
      </c>
      <c r="P17" s="1" t="str">
        <f>VLOOKUP(C17,[2]Sheet2!G:H,2,FALSE)</f>
        <v>186****6788</v>
      </c>
      <c r="Q17" s="9" t="s">
        <v>48</v>
      </c>
    </row>
    <row r="18" s="1" customFormat="1" ht="15" spans="1:17">
      <c r="A18" s="8" t="s">
        <v>67</v>
      </c>
      <c r="B18" s="8" t="s">
        <v>950</v>
      </c>
      <c r="C18" s="8" t="s">
        <v>947</v>
      </c>
      <c r="D18" s="8" t="s">
        <v>45</v>
      </c>
      <c r="E18" s="8" t="s">
        <v>45</v>
      </c>
      <c r="F18" s="8" t="s">
        <v>948</v>
      </c>
      <c r="G18" s="8" t="s">
        <v>34</v>
      </c>
      <c r="H18" s="8" t="s">
        <v>27</v>
      </c>
      <c r="I18" s="8" t="s">
        <v>69</v>
      </c>
      <c r="J18" s="8" t="s">
        <v>70</v>
      </c>
      <c r="K18" s="8" t="s">
        <v>30</v>
      </c>
      <c r="L18" s="8" t="s">
        <v>70</v>
      </c>
      <c r="M18" s="8" t="s">
        <v>46</v>
      </c>
      <c r="N18" s="8" t="s">
        <v>219</v>
      </c>
      <c r="O18" s="1" t="str">
        <f>VLOOKUP(C18,[2]Sheet2!A:C,2,FALSE)</f>
        <v>补宝-物流服务</v>
      </c>
      <c r="P18" s="1" t="str">
        <f>VLOOKUP(C18,[2]Sheet2!G:H,2,FALSE)</f>
        <v>186****6788</v>
      </c>
      <c r="Q18" s="9" t="s">
        <v>48</v>
      </c>
    </row>
    <row r="19" s="1" customFormat="1" ht="15" spans="1:17">
      <c r="A19" s="8" t="s">
        <v>72</v>
      </c>
      <c r="B19" s="8" t="s">
        <v>951</v>
      </c>
      <c r="C19" s="8" t="s">
        <v>945</v>
      </c>
      <c r="D19" s="8" t="s">
        <v>45</v>
      </c>
      <c r="E19" s="8" t="s">
        <v>45</v>
      </c>
      <c r="F19" s="8" t="s">
        <v>946</v>
      </c>
      <c r="G19" s="8" t="s">
        <v>34</v>
      </c>
      <c r="H19" s="8" t="s">
        <v>27</v>
      </c>
      <c r="I19" s="8" t="s">
        <v>69</v>
      </c>
      <c r="J19" s="8" t="s">
        <v>70</v>
      </c>
      <c r="K19" s="8" t="s">
        <v>30</v>
      </c>
      <c r="L19" s="8" t="s">
        <v>70</v>
      </c>
      <c r="M19" s="8" t="s">
        <v>46</v>
      </c>
      <c r="N19" s="8" t="s">
        <v>219</v>
      </c>
      <c r="O19" s="1" t="str">
        <f>VLOOKUP(C19,[2]Sheet2!A:C,2,FALSE)</f>
        <v>补宝-物流服务</v>
      </c>
      <c r="P19" s="1" t="str">
        <f>VLOOKUP(C19,[2]Sheet2!G:H,2,FALSE)</f>
        <v>186****6788</v>
      </c>
      <c r="Q19" s="9" t="s">
        <v>48</v>
      </c>
    </row>
    <row r="20" s="1" customFormat="1" ht="15" spans="1:17">
      <c r="A20" s="8" t="s">
        <v>73</v>
      </c>
      <c r="B20" s="8" t="s">
        <v>951</v>
      </c>
      <c r="C20" s="8" t="s">
        <v>949</v>
      </c>
      <c r="D20" s="8" t="s">
        <v>45</v>
      </c>
      <c r="E20" s="8" t="s">
        <v>45</v>
      </c>
      <c r="F20" s="8" t="s">
        <v>946</v>
      </c>
      <c r="G20" s="8" t="s">
        <v>34</v>
      </c>
      <c r="H20" s="8" t="s">
        <v>27</v>
      </c>
      <c r="I20" s="8" t="s">
        <v>69</v>
      </c>
      <c r="J20" s="8" t="s">
        <v>70</v>
      </c>
      <c r="K20" s="8" t="s">
        <v>30</v>
      </c>
      <c r="L20" s="8" t="s">
        <v>70</v>
      </c>
      <c r="M20" s="8" t="s">
        <v>46</v>
      </c>
      <c r="N20" s="8" t="s">
        <v>219</v>
      </c>
      <c r="O20" s="1" t="str">
        <f>VLOOKUP(C20,[2]Sheet2!A:C,2,FALSE)</f>
        <v>补宝-物流服务</v>
      </c>
      <c r="P20" s="1" t="str">
        <f>VLOOKUP(C20,[2]Sheet2!G:H,2,FALSE)</f>
        <v>186****6788</v>
      </c>
      <c r="Q20" s="9" t="s">
        <v>48</v>
      </c>
    </row>
    <row r="21" s="1" customFormat="1" spans="1:17">
      <c r="A21" s="8" t="s">
        <v>74</v>
      </c>
      <c r="B21" s="8" t="s">
        <v>952</v>
      </c>
      <c r="C21" s="8" t="s">
        <v>953</v>
      </c>
      <c r="D21" s="8" t="s">
        <v>76</v>
      </c>
      <c r="E21" s="8" t="s">
        <v>76</v>
      </c>
      <c r="F21" s="8" t="s">
        <v>654</v>
      </c>
      <c r="G21" s="8" t="s">
        <v>26</v>
      </c>
      <c r="H21" s="8" t="s">
        <v>27</v>
      </c>
      <c r="I21" s="8" t="s">
        <v>28</v>
      </c>
      <c r="J21" s="8" t="s">
        <v>113</v>
      </c>
      <c r="K21" s="8" t="s">
        <v>30</v>
      </c>
      <c r="L21" s="8" t="s">
        <v>113</v>
      </c>
      <c r="M21" s="8" t="s">
        <v>954</v>
      </c>
      <c r="N21" s="8" t="s">
        <v>31</v>
      </c>
      <c r="O21" s="1" t="str">
        <f>VLOOKUP(C21,[2]Sheet2!A:C,2,FALSE)</f>
        <v>补宝-仅物流</v>
      </c>
      <c r="P21" s="1" t="str">
        <f>VLOOKUP(C21,[2]Sheet2!G:H,2,FALSE)</f>
        <v>137****3997</v>
      </c>
      <c r="Q21" s="12" t="s">
        <v>955</v>
      </c>
    </row>
    <row r="22" s="1" customFormat="1" ht="15" spans="1:17">
      <c r="A22" s="8" t="s">
        <v>80</v>
      </c>
      <c r="B22" s="8" t="s">
        <v>956</v>
      </c>
      <c r="C22" s="8" t="s">
        <v>957</v>
      </c>
      <c r="D22" s="8" t="s">
        <v>76</v>
      </c>
      <c r="E22" s="8" t="s">
        <v>45</v>
      </c>
      <c r="F22" s="8" t="s">
        <v>46</v>
      </c>
      <c r="G22" s="8" t="s">
        <v>958</v>
      </c>
      <c r="H22" s="8" t="s">
        <v>27</v>
      </c>
      <c r="I22" s="8" t="s">
        <v>28</v>
      </c>
      <c r="J22" s="8" t="s">
        <v>201</v>
      </c>
      <c r="K22" s="8" t="s">
        <v>30</v>
      </c>
      <c r="L22" s="8" t="s">
        <v>201</v>
      </c>
      <c r="M22" s="8" t="s">
        <v>46</v>
      </c>
      <c r="N22" s="8" t="s">
        <v>31</v>
      </c>
      <c r="O22" s="1" t="str">
        <f>VLOOKUP(C22,[2]Sheet2!A:C,2,FALSE)</f>
        <v>取宝-物流服务</v>
      </c>
      <c r="P22" s="1" t="str">
        <f>VLOOKUP(C22,[2]Sheet2!G:H,2,FALSE)</f>
        <v>186****6788</v>
      </c>
      <c r="Q22" s="9" t="s">
        <v>48</v>
      </c>
    </row>
    <row r="23" s="1" customFormat="1" ht="15" spans="1:17">
      <c r="A23" s="8" t="s">
        <v>81</v>
      </c>
      <c r="B23" s="8" t="s">
        <v>956</v>
      </c>
      <c r="C23" s="8" t="s">
        <v>957</v>
      </c>
      <c r="D23" s="8" t="s">
        <v>76</v>
      </c>
      <c r="E23" s="8" t="s">
        <v>45</v>
      </c>
      <c r="F23" s="8" t="s">
        <v>46</v>
      </c>
      <c r="G23" s="8" t="s">
        <v>34</v>
      </c>
      <c r="H23" s="8" t="s">
        <v>27</v>
      </c>
      <c r="I23" s="8" t="s">
        <v>28</v>
      </c>
      <c r="J23" s="8" t="s">
        <v>189</v>
      </c>
      <c r="K23" s="8" t="s">
        <v>30</v>
      </c>
      <c r="L23" s="8" t="s">
        <v>189</v>
      </c>
      <c r="M23" s="8" t="s">
        <v>46</v>
      </c>
      <c r="N23" s="8" t="s">
        <v>36</v>
      </c>
      <c r="O23" s="1" t="str">
        <f>VLOOKUP(C23,[2]Sheet2!A:C,2,FALSE)</f>
        <v>取宝-物流服务</v>
      </c>
      <c r="P23" s="1" t="str">
        <f>VLOOKUP(C23,[2]Sheet2!G:H,2,FALSE)</f>
        <v>186****6788</v>
      </c>
      <c r="Q23" s="9" t="s">
        <v>48</v>
      </c>
    </row>
    <row r="24" s="1" customFormat="1" ht="15" spans="1:17">
      <c r="A24" s="8" t="s">
        <v>82</v>
      </c>
      <c r="B24" s="8" t="s">
        <v>956</v>
      </c>
      <c r="C24" s="8" t="s">
        <v>959</v>
      </c>
      <c r="D24" s="8" t="s">
        <v>76</v>
      </c>
      <c r="E24" s="8" t="s">
        <v>45</v>
      </c>
      <c r="F24" s="8" t="s">
        <v>46</v>
      </c>
      <c r="G24" s="8" t="s">
        <v>26</v>
      </c>
      <c r="H24" s="8" t="s">
        <v>27</v>
      </c>
      <c r="I24" s="8" t="s">
        <v>28</v>
      </c>
      <c r="J24" s="8" t="s">
        <v>29</v>
      </c>
      <c r="K24" s="8" t="s">
        <v>30</v>
      </c>
      <c r="L24" s="8" t="s">
        <v>29</v>
      </c>
      <c r="M24" s="8" t="s">
        <v>46</v>
      </c>
      <c r="N24" s="8" t="s">
        <v>31</v>
      </c>
      <c r="O24" s="1" t="str">
        <f>VLOOKUP(C24,[2]Sheet2!A:C,2,FALSE)</f>
        <v>取宝-物流服务</v>
      </c>
      <c r="P24" s="1" t="str">
        <f>VLOOKUP(C24,[2]Sheet2!G:H,2,FALSE)</f>
        <v>186****6788</v>
      </c>
      <c r="Q24" s="9" t="s">
        <v>48</v>
      </c>
    </row>
    <row r="25" s="1" customFormat="1" ht="15" spans="1:17">
      <c r="A25" s="8" t="s">
        <v>83</v>
      </c>
      <c r="B25" s="8" t="s">
        <v>956</v>
      </c>
      <c r="C25" s="8" t="s">
        <v>959</v>
      </c>
      <c r="D25" s="8" t="s">
        <v>76</v>
      </c>
      <c r="E25" s="8" t="s">
        <v>45</v>
      </c>
      <c r="F25" s="8" t="s">
        <v>46</v>
      </c>
      <c r="G25" s="8" t="s">
        <v>34</v>
      </c>
      <c r="H25" s="8" t="s">
        <v>27</v>
      </c>
      <c r="I25" s="8" t="s">
        <v>28</v>
      </c>
      <c r="J25" s="8" t="s">
        <v>55</v>
      </c>
      <c r="K25" s="8" t="s">
        <v>30</v>
      </c>
      <c r="L25" s="8" t="s">
        <v>55</v>
      </c>
      <c r="M25" s="8" t="s">
        <v>46</v>
      </c>
      <c r="N25" s="8" t="s">
        <v>36</v>
      </c>
      <c r="O25" s="1" t="str">
        <f>VLOOKUP(C25,[2]Sheet2!A:C,2,FALSE)</f>
        <v>取宝-物流服务</v>
      </c>
      <c r="P25" s="1" t="str">
        <f>VLOOKUP(C25,[2]Sheet2!G:H,2,FALSE)</f>
        <v>186****6788</v>
      </c>
      <c r="Q25" s="9" t="s">
        <v>48</v>
      </c>
    </row>
    <row r="26" s="1" customFormat="1" ht="15" spans="1:17">
      <c r="A26" s="8" t="s">
        <v>85</v>
      </c>
      <c r="B26" s="8" t="s">
        <v>956</v>
      </c>
      <c r="C26" s="8" t="s">
        <v>960</v>
      </c>
      <c r="D26" s="8" t="s">
        <v>76</v>
      </c>
      <c r="E26" s="8" t="s">
        <v>45</v>
      </c>
      <c r="F26" s="8" t="s">
        <v>46</v>
      </c>
      <c r="G26" s="8" t="s">
        <v>479</v>
      </c>
      <c r="H26" s="8" t="s">
        <v>27</v>
      </c>
      <c r="I26" s="8" t="s">
        <v>28</v>
      </c>
      <c r="J26" s="8" t="s">
        <v>201</v>
      </c>
      <c r="K26" s="8" t="s">
        <v>30</v>
      </c>
      <c r="L26" s="8" t="s">
        <v>201</v>
      </c>
      <c r="M26" s="8" t="s">
        <v>46</v>
      </c>
      <c r="N26" s="8" t="s">
        <v>31</v>
      </c>
      <c r="O26" s="1" t="str">
        <f>VLOOKUP(C26,[2]Sheet2!A:C,2,FALSE)</f>
        <v>立充充电宝取机柜-物流服务</v>
      </c>
      <c r="P26" s="1" t="str">
        <f>VLOOKUP(C26,[2]Sheet2!G:H,2,FALSE)</f>
        <v>186****6788</v>
      </c>
      <c r="Q26" s="9" t="s">
        <v>48</v>
      </c>
    </row>
    <row r="27" s="1" customFormat="1" ht="15" spans="1:17">
      <c r="A27" s="8" t="s">
        <v>86</v>
      </c>
      <c r="B27" s="8" t="s">
        <v>956</v>
      </c>
      <c r="C27" s="8" t="s">
        <v>960</v>
      </c>
      <c r="D27" s="8" t="s">
        <v>76</v>
      </c>
      <c r="E27" s="8" t="s">
        <v>45</v>
      </c>
      <c r="F27" s="8" t="s">
        <v>46</v>
      </c>
      <c r="G27" s="8" t="s">
        <v>34</v>
      </c>
      <c r="H27" s="8" t="s">
        <v>27</v>
      </c>
      <c r="I27" s="8" t="s">
        <v>28</v>
      </c>
      <c r="J27" s="8" t="s">
        <v>189</v>
      </c>
      <c r="K27" s="8" t="s">
        <v>30</v>
      </c>
      <c r="L27" s="8" t="s">
        <v>189</v>
      </c>
      <c r="M27" s="8" t="s">
        <v>46</v>
      </c>
      <c r="N27" s="8" t="s">
        <v>36</v>
      </c>
      <c r="O27" s="1" t="str">
        <f>VLOOKUP(C27,[2]Sheet2!A:C,2,FALSE)</f>
        <v>立充充电宝取机柜-物流服务</v>
      </c>
      <c r="P27" s="1" t="str">
        <f>VLOOKUP(C27,[2]Sheet2!G:H,2,FALSE)</f>
        <v>186****6788</v>
      </c>
      <c r="Q27" s="9" t="s">
        <v>48</v>
      </c>
    </row>
    <row r="28" s="1" customFormat="1" ht="15" spans="1:17">
      <c r="A28" s="8" t="s">
        <v>91</v>
      </c>
      <c r="B28" s="8" t="s">
        <v>956</v>
      </c>
      <c r="C28" s="8" t="s">
        <v>961</v>
      </c>
      <c r="D28" s="8" t="s">
        <v>76</v>
      </c>
      <c r="E28" s="8" t="s">
        <v>45</v>
      </c>
      <c r="F28" s="8" t="s">
        <v>46</v>
      </c>
      <c r="G28" s="8" t="s">
        <v>26</v>
      </c>
      <c r="H28" s="8" t="s">
        <v>27</v>
      </c>
      <c r="I28" s="8" t="s">
        <v>28</v>
      </c>
      <c r="J28" s="8" t="s">
        <v>29</v>
      </c>
      <c r="K28" s="8" t="s">
        <v>30</v>
      </c>
      <c r="L28" s="8" t="s">
        <v>29</v>
      </c>
      <c r="M28" s="8" t="s">
        <v>46</v>
      </c>
      <c r="N28" s="8" t="s">
        <v>31</v>
      </c>
      <c r="O28" s="1" t="str">
        <f>VLOOKUP(C28,[2]Sheet2!A:C,2,FALSE)</f>
        <v>取宝-物流服务</v>
      </c>
      <c r="P28" s="1" t="str">
        <f>VLOOKUP(C28,[2]Sheet2!G:H,2,FALSE)</f>
        <v>186****6788</v>
      </c>
      <c r="Q28" s="9" t="s">
        <v>48</v>
      </c>
    </row>
    <row r="29" s="1" customFormat="1" ht="15" spans="1:17">
      <c r="A29" s="8" t="s">
        <v>92</v>
      </c>
      <c r="B29" s="8" t="s">
        <v>956</v>
      </c>
      <c r="C29" s="8" t="s">
        <v>961</v>
      </c>
      <c r="D29" s="8" t="s">
        <v>76</v>
      </c>
      <c r="E29" s="8" t="s">
        <v>45</v>
      </c>
      <c r="F29" s="8" t="s">
        <v>46</v>
      </c>
      <c r="G29" s="8" t="s">
        <v>34</v>
      </c>
      <c r="H29" s="8" t="s">
        <v>27</v>
      </c>
      <c r="I29" s="8" t="s">
        <v>28</v>
      </c>
      <c r="J29" s="8" t="s">
        <v>55</v>
      </c>
      <c r="K29" s="8" t="s">
        <v>30</v>
      </c>
      <c r="L29" s="8" t="s">
        <v>55</v>
      </c>
      <c r="M29" s="8" t="s">
        <v>46</v>
      </c>
      <c r="N29" s="8" t="s">
        <v>36</v>
      </c>
      <c r="O29" s="1" t="str">
        <f>VLOOKUP(C29,[2]Sheet2!A:C,2,FALSE)</f>
        <v>取宝-物流服务</v>
      </c>
      <c r="P29" s="1" t="str">
        <f>VLOOKUP(C29,[2]Sheet2!G:H,2,FALSE)</f>
        <v>186****6788</v>
      </c>
      <c r="Q29" s="9" t="s">
        <v>48</v>
      </c>
    </row>
    <row r="30" s="1" customFormat="1" ht="15" spans="1:17">
      <c r="A30" s="8" t="s">
        <v>96</v>
      </c>
      <c r="B30" s="8" t="s">
        <v>956</v>
      </c>
      <c r="C30" s="8" t="s">
        <v>962</v>
      </c>
      <c r="D30" s="8" t="s">
        <v>76</v>
      </c>
      <c r="E30" s="8" t="s">
        <v>45</v>
      </c>
      <c r="F30" s="8" t="s">
        <v>46</v>
      </c>
      <c r="G30" s="8" t="s">
        <v>963</v>
      </c>
      <c r="H30" s="8" t="s">
        <v>27</v>
      </c>
      <c r="I30" s="8" t="s">
        <v>28</v>
      </c>
      <c r="J30" s="8" t="s">
        <v>772</v>
      </c>
      <c r="K30" s="8" t="s">
        <v>30</v>
      </c>
      <c r="L30" s="8" t="s">
        <v>772</v>
      </c>
      <c r="M30" s="8" t="s">
        <v>46</v>
      </c>
      <c r="N30" s="8" t="s">
        <v>31</v>
      </c>
      <c r="O30" s="1" t="str">
        <f>VLOOKUP(C30,[2]Sheet2!A:C,2,FALSE)</f>
        <v>立充充电宝取机柜-物流服务</v>
      </c>
      <c r="P30" s="1" t="str">
        <f>VLOOKUP(C30,[2]Sheet2!G:H,2,FALSE)</f>
        <v>186****6788</v>
      </c>
      <c r="Q30" s="9" t="s">
        <v>48</v>
      </c>
    </row>
    <row r="31" s="1" customFormat="1" ht="15" spans="1:17">
      <c r="A31" s="8" t="s">
        <v>98</v>
      </c>
      <c r="B31" s="8" t="s">
        <v>956</v>
      </c>
      <c r="C31" s="8" t="s">
        <v>962</v>
      </c>
      <c r="D31" s="8" t="s">
        <v>76</v>
      </c>
      <c r="E31" s="8" t="s">
        <v>45</v>
      </c>
      <c r="F31" s="8" t="s">
        <v>46</v>
      </c>
      <c r="G31" s="8" t="s">
        <v>34</v>
      </c>
      <c r="H31" s="8" t="s">
        <v>27</v>
      </c>
      <c r="I31" s="8" t="s">
        <v>28</v>
      </c>
      <c r="J31" s="8" t="s">
        <v>113</v>
      </c>
      <c r="K31" s="8" t="s">
        <v>30</v>
      </c>
      <c r="L31" s="8" t="s">
        <v>113</v>
      </c>
      <c r="M31" s="8" t="s">
        <v>46</v>
      </c>
      <c r="N31" s="8" t="s">
        <v>36</v>
      </c>
      <c r="O31" s="1" t="str">
        <f>VLOOKUP(C31,[2]Sheet2!A:C,2,FALSE)</f>
        <v>立充充电宝取机柜-物流服务</v>
      </c>
      <c r="P31" s="1" t="str">
        <f>VLOOKUP(C31,[2]Sheet2!G:H,2,FALSE)</f>
        <v>186****6788</v>
      </c>
      <c r="Q31" s="9" t="s">
        <v>48</v>
      </c>
    </row>
    <row r="32" s="1" customFormat="1" ht="15" spans="1:17">
      <c r="A32" s="8" t="s">
        <v>100</v>
      </c>
      <c r="B32" s="8" t="s">
        <v>964</v>
      </c>
      <c r="C32" s="8" t="s">
        <v>957</v>
      </c>
      <c r="D32" s="8" t="s">
        <v>76</v>
      </c>
      <c r="E32" s="8" t="s">
        <v>45</v>
      </c>
      <c r="F32" s="8" t="s">
        <v>46</v>
      </c>
      <c r="G32" s="8" t="s">
        <v>34</v>
      </c>
      <c r="H32" s="8" t="s">
        <v>27</v>
      </c>
      <c r="I32" s="8" t="s">
        <v>69</v>
      </c>
      <c r="J32" s="8" t="s">
        <v>70</v>
      </c>
      <c r="K32" s="8" t="s">
        <v>30</v>
      </c>
      <c r="L32" s="8" t="s">
        <v>70</v>
      </c>
      <c r="M32" s="8" t="s">
        <v>46</v>
      </c>
      <c r="N32" s="8" t="s">
        <v>71</v>
      </c>
      <c r="O32" s="1" t="str">
        <f>VLOOKUP(C32,[2]Sheet2!A:C,2,FALSE)</f>
        <v>取宝-物流服务</v>
      </c>
      <c r="P32" s="1" t="str">
        <f>VLOOKUP(C32,[2]Sheet2!G:H,2,FALSE)</f>
        <v>186****6788</v>
      </c>
      <c r="Q32" s="9" t="s">
        <v>48</v>
      </c>
    </row>
    <row r="33" s="1" customFormat="1" ht="15" spans="1:17">
      <c r="A33" s="8" t="s">
        <v>101</v>
      </c>
      <c r="B33" s="8" t="s">
        <v>964</v>
      </c>
      <c r="C33" s="8" t="s">
        <v>959</v>
      </c>
      <c r="D33" s="8" t="s">
        <v>76</v>
      </c>
      <c r="E33" s="8" t="s">
        <v>45</v>
      </c>
      <c r="F33" s="8" t="s">
        <v>46</v>
      </c>
      <c r="G33" s="8" t="s">
        <v>34</v>
      </c>
      <c r="H33" s="8" t="s">
        <v>27</v>
      </c>
      <c r="I33" s="8" t="s">
        <v>69</v>
      </c>
      <c r="J33" s="8" t="s">
        <v>70</v>
      </c>
      <c r="K33" s="8" t="s">
        <v>30</v>
      </c>
      <c r="L33" s="8" t="s">
        <v>70</v>
      </c>
      <c r="M33" s="8" t="s">
        <v>46</v>
      </c>
      <c r="N33" s="8" t="s">
        <v>71</v>
      </c>
      <c r="O33" s="1" t="str">
        <f>VLOOKUP(C33,[2]Sheet2!A:C,2,FALSE)</f>
        <v>取宝-物流服务</v>
      </c>
      <c r="P33" s="1" t="str">
        <f>VLOOKUP(C33,[2]Sheet2!G:H,2,FALSE)</f>
        <v>186****6788</v>
      </c>
      <c r="Q33" s="9" t="s">
        <v>48</v>
      </c>
    </row>
    <row r="34" s="1" customFormat="1" ht="15" spans="1:17">
      <c r="A34" s="8" t="s">
        <v>103</v>
      </c>
      <c r="B34" s="8" t="s">
        <v>964</v>
      </c>
      <c r="C34" s="8" t="s">
        <v>960</v>
      </c>
      <c r="D34" s="8" t="s">
        <v>76</v>
      </c>
      <c r="E34" s="8" t="s">
        <v>45</v>
      </c>
      <c r="F34" s="8" t="s">
        <v>46</v>
      </c>
      <c r="G34" s="8" t="s">
        <v>34</v>
      </c>
      <c r="H34" s="8" t="s">
        <v>27</v>
      </c>
      <c r="I34" s="8" t="s">
        <v>69</v>
      </c>
      <c r="J34" s="8" t="s">
        <v>84</v>
      </c>
      <c r="K34" s="8" t="s">
        <v>30</v>
      </c>
      <c r="L34" s="8" t="s">
        <v>84</v>
      </c>
      <c r="M34" s="8" t="s">
        <v>46</v>
      </c>
      <c r="N34" s="8" t="s">
        <v>71</v>
      </c>
      <c r="O34" s="1" t="str">
        <f>VLOOKUP(C34,[2]Sheet2!A:C,2,FALSE)</f>
        <v>立充充电宝取机柜-物流服务</v>
      </c>
      <c r="P34" s="1" t="str">
        <f>VLOOKUP(C34,[2]Sheet2!G:H,2,FALSE)</f>
        <v>186****6788</v>
      </c>
      <c r="Q34" s="9" t="s">
        <v>48</v>
      </c>
    </row>
    <row r="35" s="1" customFormat="1" ht="15" spans="1:17">
      <c r="A35" s="8" t="s">
        <v>104</v>
      </c>
      <c r="B35" s="8" t="s">
        <v>964</v>
      </c>
      <c r="C35" s="8" t="s">
        <v>961</v>
      </c>
      <c r="D35" s="8" t="s">
        <v>76</v>
      </c>
      <c r="E35" s="8" t="s">
        <v>45</v>
      </c>
      <c r="F35" s="8" t="s">
        <v>46</v>
      </c>
      <c r="G35" s="8" t="s">
        <v>34</v>
      </c>
      <c r="H35" s="8" t="s">
        <v>27</v>
      </c>
      <c r="I35" s="8" t="s">
        <v>69</v>
      </c>
      <c r="J35" s="8" t="s">
        <v>70</v>
      </c>
      <c r="K35" s="8" t="s">
        <v>30</v>
      </c>
      <c r="L35" s="8" t="s">
        <v>70</v>
      </c>
      <c r="M35" s="8" t="s">
        <v>46</v>
      </c>
      <c r="N35" s="8" t="s">
        <v>71</v>
      </c>
      <c r="O35" s="1" t="str">
        <f>VLOOKUP(C35,[2]Sheet2!A:C,2,FALSE)</f>
        <v>取宝-物流服务</v>
      </c>
      <c r="P35" s="1" t="str">
        <f>VLOOKUP(C35,[2]Sheet2!G:H,2,FALSE)</f>
        <v>186****6788</v>
      </c>
      <c r="Q35" s="9" t="s">
        <v>48</v>
      </c>
    </row>
    <row r="36" s="1" customFormat="1" ht="15" spans="1:17">
      <c r="A36" s="8" t="s">
        <v>106</v>
      </c>
      <c r="B36" s="8" t="s">
        <v>964</v>
      </c>
      <c r="C36" s="8" t="s">
        <v>962</v>
      </c>
      <c r="D36" s="8" t="s">
        <v>76</v>
      </c>
      <c r="E36" s="8" t="s">
        <v>45</v>
      </c>
      <c r="F36" s="8" t="s">
        <v>46</v>
      </c>
      <c r="G36" s="8" t="s">
        <v>34</v>
      </c>
      <c r="H36" s="8" t="s">
        <v>27</v>
      </c>
      <c r="I36" s="8" t="s">
        <v>69</v>
      </c>
      <c r="J36" s="8" t="s">
        <v>84</v>
      </c>
      <c r="K36" s="8" t="s">
        <v>30</v>
      </c>
      <c r="L36" s="8" t="s">
        <v>84</v>
      </c>
      <c r="M36" s="8" t="s">
        <v>46</v>
      </c>
      <c r="N36" s="8" t="s">
        <v>71</v>
      </c>
      <c r="O36" s="1" t="str">
        <f>VLOOKUP(C36,[2]Sheet2!A:C,2,FALSE)</f>
        <v>立充充电宝取机柜-物流服务</v>
      </c>
      <c r="P36" s="1" t="str">
        <f>VLOOKUP(C36,[2]Sheet2!G:H,2,FALSE)</f>
        <v>186****6788</v>
      </c>
      <c r="Q36" s="9" t="s">
        <v>48</v>
      </c>
    </row>
    <row r="37" s="1" customFormat="1" ht="15" spans="1:17">
      <c r="A37" s="8" t="s">
        <v>107</v>
      </c>
      <c r="B37" s="8" t="s">
        <v>965</v>
      </c>
      <c r="C37" s="8" t="s">
        <v>966</v>
      </c>
      <c r="D37" s="8" t="s">
        <v>76</v>
      </c>
      <c r="E37" s="8" t="s">
        <v>967</v>
      </c>
      <c r="F37" s="8" t="s">
        <v>968</v>
      </c>
      <c r="G37" s="8" t="s">
        <v>26</v>
      </c>
      <c r="H37" s="8" t="s">
        <v>27</v>
      </c>
      <c r="I37" s="8" t="s">
        <v>28</v>
      </c>
      <c r="J37" s="8" t="s">
        <v>201</v>
      </c>
      <c r="K37" s="8" t="s">
        <v>30</v>
      </c>
      <c r="L37" s="8" t="s">
        <v>201</v>
      </c>
      <c r="M37" s="8" t="s">
        <v>969</v>
      </c>
      <c r="N37" s="8" t="s">
        <v>31</v>
      </c>
      <c r="O37" s="1" t="str">
        <f>VLOOKUP(C37,[2]Sheet2!A:C,2,FALSE)</f>
        <v>取宝-物流服务</v>
      </c>
      <c r="P37" s="1" t="str">
        <f>VLOOKUP(C37,[2]Sheet2!G:H,2,FALSE)</f>
        <v>134****9085</v>
      </c>
      <c r="Q37" s="11" t="s">
        <v>362</v>
      </c>
    </row>
    <row r="38" s="1" customFormat="1" ht="15" spans="1:17">
      <c r="A38" s="8" t="s">
        <v>109</v>
      </c>
      <c r="B38" s="8" t="s">
        <v>965</v>
      </c>
      <c r="C38" s="8" t="s">
        <v>966</v>
      </c>
      <c r="D38" s="8" t="s">
        <v>76</v>
      </c>
      <c r="E38" s="8" t="s">
        <v>967</v>
      </c>
      <c r="F38" s="8" t="s">
        <v>968</v>
      </c>
      <c r="G38" s="8" t="s">
        <v>34</v>
      </c>
      <c r="H38" s="8" t="s">
        <v>27</v>
      </c>
      <c r="I38" s="8" t="s">
        <v>28</v>
      </c>
      <c r="J38" s="8" t="s">
        <v>55</v>
      </c>
      <c r="K38" s="8" t="s">
        <v>30</v>
      </c>
      <c r="L38" s="8" t="s">
        <v>55</v>
      </c>
      <c r="M38" s="8" t="s">
        <v>969</v>
      </c>
      <c r="N38" s="8" t="s">
        <v>36</v>
      </c>
      <c r="O38" s="1" t="str">
        <f>VLOOKUP(C38,[2]Sheet2!A:C,2,FALSE)</f>
        <v>取宝-物流服务</v>
      </c>
      <c r="P38" s="1" t="str">
        <f>VLOOKUP(C38,[2]Sheet2!G:H,2,FALSE)</f>
        <v>134****9085</v>
      </c>
      <c r="Q38" s="11" t="s">
        <v>362</v>
      </c>
    </row>
    <row r="39" s="1" customFormat="1" ht="15" spans="1:17">
      <c r="A39" s="8" t="s">
        <v>110</v>
      </c>
      <c r="B39" s="8" t="s">
        <v>970</v>
      </c>
      <c r="C39" s="8" t="s">
        <v>966</v>
      </c>
      <c r="D39" s="8" t="s">
        <v>76</v>
      </c>
      <c r="E39" s="8" t="s">
        <v>967</v>
      </c>
      <c r="F39" s="8" t="s">
        <v>968</v>
      </c>
      <c r="G39" s="8" t="s">
        <v>34</v>
      </c>
      <c r="H39" s="8" t="s">
        <v>27</v>
      </c>
      <c r="I39" s="8" t="s">
        <v>69</v>
      </c>
      <c r="J39" s="8" t="s">
        <v>70</v>
      </c>
      <c r="K39" s="8" t="s">
        <v>30</v>
      </c>
      <c r="L39" s="8" t="s">
        <v>70</v>
      </c>
      <c r="M39" s="8" t="s">
        <v>969</v>
      </c>
      <c r="N39" s="8" t="s">
        <v>71</v>
      </c>
      <c r="O39" s="1" t="str">
        <f>VLOOKUP(C39,[2]Sheet2!A:C,2,FALSE)</f>
        <v>取宝-物流服务</v>
      </c>
      <c r="P39" s="1" t="str">
        <f>VLOOKUP(C39,[2]Sheet2!G:H,2,FALSE)</f>
        <v>134****9085</v>
      </c>
      <c r="Q39" s="11" t="s">
        <v>362</v>
      </c>
    </row>
    <row r="40" s="1" customFormat="1" spans="1:17">
      <c r="A40" s="8" t="s">
        <v>898</v>
      </c>
      <c r="B40" s="13"/>
      <c r="C40" s="13"/>
      <c r="D40" s="13"/>
      <c r="E40" s="13"/>
      <c r="F40" s="13"/>
      <c r="G40" s="13"/>
      <c r="H40" s="13"/>
      <c r="I40" s="14"/>
      <c r="J40" s="8" t="s">
        <v>971</v>
      </c>
      <c r="K40" s="8" t="s">
        <v>30</v>
      </c>
      <c r="L40" s="8" t="s">
        <v>971</v>
      </c>
      <c r="M40" s="8" t="s">
        <v>900</v>
      </c>
      <c r="N40" s="8" t="s">
        <v>900</v>
      </c>
    </row>
    <row r="42" ht="15.15" spans="1:17">
      <c r="B42" s="15" t="s">
        <v>972</v>
      </c>
    </row>
    <row r="43" ht="15.15"/>
    <row r="44" ht="15.15" spans="1:17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ht="15.15"/>
    <row r="46" spans="1:17">
      <c r="B46" s="17" t="s">
        <v>902</v>
      </c>
      <c r="D46" s="17" t="s">
        <v>362</v>
      </c>
      <c r="H46" s="17" t="s">
        <v>903</v>
      </c>
      <c r="J46" s="17" t="s">
        <v>904</v>
      </c>
    </row>
    <row r="47" spans="1:17">
      <c r="B47" s="17" t="s">
        <v>905</v>
      </c>
      <c r="D47" s="17" t="s">
        <v>906</v>
      </c>
      <c r="H47" s="17" t="s">
        <v>907</v>
      </c>
      <c r="J47" s="17" t="s">
        <v>908</v>
      </c>
    </row>
    <row r="48" spans="1:17">
      <c r="B48" s="17" t="s">
        <v>909</v>
      </c>
      <c r="D48" s="17" t="s">
        <v>973</v>
      </c>
      <c r="H48" s="17" t="s">
        <v>911</v>
      </c>
      <c r="J48" s="17" t="s">
        <v>912</v>
      </c>
    </row>
    <row r="49" spans="2:12">
      <c r="B49" s="18" t="s">
        <v>913</v>
      </c>
      <c r="D49" s="18" t="s">
        <v>974</v>
      </c>
      <c r="H49" s="17" t="s">
        <v>915</v>
      </c>
      <c r="J49" s="17" t="s">
        <v>916</v>
      </c>
    </row>
    <row r="52" ht="15.6" spans="2:12">
      <c r="B52" s="19" t="s">
        <v>917</v>
      </c>
      <c r="E52" s="20" t="s">
        <v>975</v>
      </c>
    </row>
    <row r="53" spans="2:12">
      <c r="B53" s="17" t="s">
        <v>919</v>
      </c>
      <c r="E53" s="21" t="s">
        <v>975</v>
      </c>
    </row>
    <row r="54" spans="2:12">
      <c r="B54" s="17" t="s">
        <v>920</v>
      </c>
      <c r="E54" s="21" t="s">
        <v>921</v>
      </c>
    </row>
    <row r="57" ht="15.15" spans="2:12">
      <c r="B57" s="22" t="s">
        <v>922</v>
      </c>
      <c r="C57" s="23"/>
      <c r="D57" s="24" t="s">
        <v>923</v>
      </c>
      <c r="E57" s="23"/>
      <c r="F57" s="23"/>
      <c r="G57" s="24" t="s">
        <v>11</v>
      </c>
      <c r="H57" s="23"/>
      <c r="I57" s="23"/>
      <c r="J57" s="24" t="s">
        <v>12</v>
      </c>
      <c r="K57" s="23"/>
      <c r="L57" s="23"/>
    </row>
    <row r="58" spans="2:12">
      <c r="B58" s="25" t="s">
        <v>924</v>
      </c>
      <c r="C58" s="26"/>
      <c r="D58" s="27">
        <v>298</v>
      </c>
      <c r="E58" s="26"/>
      <c r="F58" s="26"/>
      <c r="G58" s="27">
        <v>0</v>
      </c>
      <c r="H58" s="26"/>
      <c r="I58" s="26"/>
      <c r="J58" s="27">
        <v>298</v>
      </c>
      <c r="K58" s="26"/>
      <c r="L58" s="26"/>
    </row>
    <row r="59" ht="15.15" spans="2:12">
      <c r="B59" s="22" t="s">
        <v>925</v>
      </c>
      <c r="C59" s="23"/>
      <c r="D59" s="28">
        <v>298</v>
      </c>
      <c r="E59" s="23"/>
      <c r="F59" s="23"/>
      <c r="G59" s="28">
        <v>0</v>
      </c>
      <c r="H59" s="23"/>
      <c r="I59" s="23"/>
      <c r="J59" s="28">
        <v>298</v>
      </c>
      <c r="K59" s="23"/>
      <c r="L59" s="23"/>
    </row>
    <row r="62" spans="2:12">
      <c r="B62" s="18" t="s">
        <v>926</v>
      </c>
    </row>
    <row r="63" spans="2:12">
      <c r="B63" s="29" t="s">
        <v>927</v>
      </c>
    </row>
    <row r="64" spans="2:12">
      <c r="B64" s="30" t="s">
        <v>928</v>
      </c>
      <c r="C64" s="30" t="s">
        <v>929</v>
      </c>
      <c r="D64" s="26"/>
      <c r="E64" s="26"/>
      <c r="F64" s="26"/>
    </row>
    <row r="65" spans="2:12">
      <c r="B65" s="30" t="s">
        <v>930</v>
      </c>
      <c r="C65" s="30" t="s">
        <v>931</v>
      </c>
      <c r="D65" s="26"/>
      <c r="E65" s="26"/>
      <c r="F65" s="26"/>
    </row>
    <row r="66" spans="2:12">
      <c r="B66" s="30" t="s">
        <v>932</v>
      </c>
      <c r="C66" s="30" t="s">
        <v>933</v>
      </c>
      <c r="D66" s="26"/>
      <c r="E66" s="26"/>
      <c r="F66" s="26"/>
    </row>
    <row r="69" spans="2:12">
      <c r="B69" s="18" t="s">
        <v>934</v>
      </c>
    </row>
    <row r="70" spans="2:12">
      <c r="B70" s="30" t="s">
        <v>935</v>
      </c>
      <c r="C70" s="30" t="s">
        <v>976</v>
      </c>
      <c r="D70" s="26"/>
      <c r="E70" s="26"/>
      <c r="F70" s="26"/>
      <c r="H70" s="30" t="s">
        <v>937</v>
      </c>
      <c r="I70" s="30" t="s">
        <v>977</v>
      </c>
      <c r="J70" s="26"/>
      <c r="K70" s="26"/>
      <c r="L70" s="26"/>
    </row>
    <row r="72" spans="2:12">
      <c r="B72" s="18" t="s">
        <v>978</v>
      </c>
    </row>
    <row r="73" spans="2:12">
      <c r="B73" s="29" t="s">
        <v>979</v>
      </c>
    </row>
    <row r="74" spans="2:12">
      <c r="B74" s="29" t="s">
        <v>980</v>
      </c>
    </row>
    <row r="75" spans="2:12">
      <c r="B75" s="29" t="s">
        <v>981</v>
      </c>
    </row>
    <row r="76" spans="2:12">
      <c r="B76" s="29" t="s">
        <v>982</v>
      </c>
    </row>
    <row r="77" spans="2:12">
      <c r="B77" s="29" t="s">
        <v>983</v>
      </c>
    </row>
    <row r="78" spans="2:12">
      <c r="B78" s="29" t="s">
        <v>984</v>
      </c>
    </row>
    <row r="79" spans="2:12">
      <c r="B79" s="29" t="s">
        <v>985</v>
      </c>
    </row>
    <row r="80" spans="2:12">
      <c r="B80" s="29" t="s">
        <v>986</v>
      </c>
    </row>
    <row r="81" spans="2:2">
      <c r="B81" s="29" t="s">
        <v>987</v>
      </c>
    </row>
    <row r="82" spans="2:2">
      <c r="B82" s="29" t="s">
        <v>988</v>
      </c>
    </row>
    <row r="83" spans="2:2">
      <c r="B83" s="29" t="s">
        <v>989</v>
      </c>
    </row>
    <row r="84" spans="2:2">
      <c r="B84" s="29" t="s">
        <v>990</v>
      </c>
    </row>
    <row r="85" spans="2:2">
      <c r="B85" s="29" t="s">
        <v>991</v>
      </c>
    </row>
    <row r="86" spans="2:2">
      <c r="B86" s="29" t="s">
        <v>992</v>
      </c>
    </row>
  </sheetData>
  <mergeCells count="60">
    <mergeCell ref="A1:N1"/>
    <mergeCell ref="A40:I40"/>
    <mergeCell ref="B46:C46"/>
    <mergeCell ref="D46:G46"/>
    <mergeCell ref="H46:I46"/>
    <mergeCell ref="J46:L46"/>
    <mergeCell ref="B47:C47"/>
    <mergeCell ref="D47:G47"/>
    <mergeCell ref="H47:I47"/>
    <mergeCell ref="J47:L47"/>
    <mergeCell ref="B48:C48"/>
    <mergeCell ref="D48:G48"/>
    <mergeCell ref="H48:I48"/>
    <mergeCell ref="J48:L48"/>
    <mergeCell ref="B49:C49"/>
    <mergeCell ref="D49:G49"/>
    <mergeCell ref="H49:I49"/>
    <mergeCell ref="J49:L49"/>
    <mergeCell ref="B52:D52"/>
    <mergeCell ref="E52:F52"/>
    <mergeCell ref="B53:D53"/>
    <mergeCell ref="E53:F53"/>
    <mergeCell ref="B54:D54"/>
    <mergeCell ref="E54:F54"/>
    <mergeCell ref="B57:C57"/>
    <mergeCell ref="D57:F57"/>
    <mergeCell ref="G57:I57"/>
    <mergeCell ref="J57:L57"/>
    <mergeCell ref="B58:C58"/>
    <mergeCell ref="D58:F58"/>
    <mergeCell ref="G58:I58"/>
    <mergeCell ref="J58:L58"/>
    <mergeCell ref="B59:C59"/>
    <mergeCell ref="D59:F59"/>
    <mergeCell ref="G59:I59"/>
    <mergeCell ref="J59:L59"/>
    <mergeCell ref="B62:L62"/>
    <mergeCell ref="B63:F63"/>
    <mergeCell ref="C64:F64"/>
    <mergeCell ref="C65:F65"/>
    <mergeCell ref="C66:F66"/>
    <mergeCell ref="B69:L69"/>
    <mergeCell ref="C70:F70"/>
    <mergeCell ref="I70:L70"/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B42:L4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dengchuwei</dc:creator>
  <cp:lastModifiedBy>邓楚溦</cp:lastModifiedBy>
  <dcterms:created xsi:type="dcterms:W3CDTF">2026-02-06T07:00:59Z</dcterms:created>
  <dcterms:modified xsi:type="dcterms:W3CDTF">2026-02-06T07:02:40Z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B6206173DE524C30A31FD6CA5D388049_11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