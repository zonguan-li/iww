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账单总览" sheetId="1" r:id="rId1"/>
    <sheet name="账单明细" sheetId="2" r:id="rId2"/>
    <sheet name="月结报告" sheetId="3" r:id="rId3"/>
    <sheet name="1月订单明细" sheetId="4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<sst xmlns="http://schemas.openxmlformats.org/spreadsheetml/2006/main" count="1682" uniqueCount="410">
  <si>
    <t>客户月结总览</t>
  </si>
  <si>
    <t>客户名称:</t>
  </si>
  <si>
    <t>深圳市嘉嘉电科技有限公司</t>
  </si>
  <si>
    <t>顺丰对账人:</t>
  </si>
  <si>
    <t>丰晓易</t>
  </si>
  <si>
    <t>月结卡号:</t>
  </si>
  <si>
    <t>7551083218</t>
  </si>
  <si>
    <t>对账热线:</t>
  </si>
  <si>
    <t>4001095338</t>
  </si>
  <si>
    <t>账单周期:</t>
  </si>
  <si>
    <t>20260101-20260131</t>
  </si>
  <si>
    <t>联系邮箱:</t>
  </si>
  <si>
    <t>sfcscs@sf-express.com</t>
  </si>
  <si>
    <t>最晚汇款日:</t>
  </si>
  <si>
    <t>2026-02-28</t>
  </si>
  <si>
    <t>服务时间:</t>
  </si>
  <si>
    <t>工作日周一至周五9:00-17:30</t>
  </si>
  <si>
    <t>本期应付总额:</t>
  </si>
  <si>
    <t>¥298.00</t>
  </si>
  <si>
    <t>本期应付金额：</t>
  </si>
  <si>
    <t>月结券抵扣:</t>
  </si>
  <si>
    <t>¥0.00</t>
  </si>
  <si>
    <t>费用类型</t>
  </si>
  <si>
    <t>费用</t>
  </si>
  <si>
    <t>折扣/促销</t>
  </si>
  <si>
    <t>应付金额</t>
  </si>
  <si>
    <t>速运费用</t>
  </si>
  <si>
    <t>小计</t>
  </si>
  <si>
    <t>对公账户信息</t>
  </si>
  <si>
    <t>速运公司</t>
  </si>
  <si>
    <t>公司名称:</t>
  </si>
  <si>
    <t>顺丰速运有限公司</t>
  </si>
  <si>
    <t>银行名称:</t>
  </si>
  <si>
    <t>中国工商银行股份有限公司前海分行</t>
  </si>
  <si>
    <t>银行账号:</t>
  </si>
  <si>
    <t>4000025319200395130</t>
  </si>
  <si>
    <t>客户经理联系信息</t>
  </si>
  <si>
    <t>联系人:</t>
  </si>
  <si>
    <t>刘剑</t>
  </si>
  <si>
    <t>联系电话:</t>
  </si>
  <si>
    <t>18676798627</t>
  </si>
  <si>
    <t>温馨提示：</t>
  </si>
  <si>
    <t>◆若您的账单地址、电邮地址等联系方式发生变化，为确保您能准确无误的收到账单，您可访问微信公众号“顺丰速运</t>
  </si>
  <si>
    <t>月结服务”，及时更新您的信息。</t>
  </si>
  <si>
    <t>◆您可通过银行转账、微信、支付宝等方式直接支付到我司账户，请勿将资金以现金或其他方式交付给我司员工个人账</t>
  </si>
  <si>
    <t>户。如因支付给我司员工个人 账户造成的纠纷，我司不承担相关责任。</t>
  </si>
  <si>
    <t>◆若您使用了我司国际件免税（增值税）产品服务需开具发票，请特别注意该服务发票开具主体为广东顺丰电子商务有</t>
  </si>
  <si>
    <t>限公司，发票类型为普通发票；但您的款项请支付至上方所列公司及账号。</t>
  </si>
  <si>
    <t>◆免税产品：顺丰国际电商专递、顺丰国际小包挂号、顺丰国际小包平邮、国际海运、国际重货-港到港、国际铁路整</t>
  </si>
  <si>
    <t>柜、国际铁路散货、国际重货-陆运、国际重货-海外仓空+派、国际重货-海外仓海+派、国际重货-海外仓铁+派、国际仓</t>
  </si>
  <si>
    <t>储、国际填舱。</t>
  </si>
  <si>
    <t>◆我司自2019年4月开始向中国内地始发的国际标快+、国际标快、国际特惠产品收取燃油附加费， https://www.sf-express</t>
  </si>
  <si>
    <t>.com/chn/sc/support-more/international_fuel_surcharge_introduction查看当月燃油费率及计算方法。</t>
  </si>
  <si>
    <t>◆若您的账单中运单“费用（元）”栏为“0”，但“应付金额”栏不为“0”，请您核对数据时，与运单实际月份账单</t>
  </si>
  <si>
    <t>一起核对最终应付金额。</t>
  </si>
  <si>
    <t>◆若贵司需变更开票信息或对账单内容有疑问，请联系顺丰对账联系人。</t>
  </si>
  <si>
    <t>快递运单费用</t>
  </si>
  <si>
    <t>序号</t>
  </si>
  <si>
    <t>日期</t>
  </si>
  <si>
    <t>运单号码</t>
  </si>
  <si>
    <t>寄件地区</t>
  </si>
  <si>
    <t>到件地区</t>
  </si>
  <si>
    <t>对方公司名称</t>
  </si>
  <si>
    <t>计费重量</t>
  </si>
  <si>
    <t>产品类型</t>
  </si>
  <si>
    <t>付款方式</t>
  </si>
  <si>
    <t>费用(元)</t>
  </si>
  <si>
    <t>经手人</t>
  </si>
  <si>
    <t>服务</t>
  </si>
  <si>
    <t>任务类型</t>
  </si>
  <si>
    <t>下单账号</t>
  </si>
  <si>
    <t>账号所属公司</t>
  </si>
  <si>
    <t>公司性质</t>
  </si>
  <si>
    <t>备注</t>
  </si>
  <si>
    <t>1</t>
  </si>
  <si>
    <t>01-01</t>
  </si>
  <si>
    <t>SF3268714509952</t>
  </si>
  <si>
    <t>东莞</t>
  </si>
  <si>
    <t>邹小华</t>
  </si>
  <si>
    <t>0.000</t>
  </si>
  <si>
    <t>顺丰标快</t>
  </si>
  <si>
    <t>寄付</t>
  </si>
  <si>
    <t>6.00</t>
  </si>
  <si>
    <t>0.00</t>
  </si>
  <si>
    <t>收件微派</t>
  </si>
  <si>
    <t>东莞市中汇信息技术有限公司</t>
  </si>
  <si>
    <t>2</t>
  </si>
  <si>
    <t>SF3268714724220</t>
  </si>
  <si>
    <t>3.00</t>
  </si>
  <si>
    <t>3</t>
  </si>
  <si>
    <t>SF5106970421620</t>
  </si>
  <si>
    <t>取宝-物流服务</t>
  </si>
  <si>
    <t>4</t>
  </si>
  <si>
    <t>SF5127722204781</t>
  </si>
  <si>
    <t>立充充电宝取机柜-物流服务</t>
  </si>
  <si>
    <t>5</t>
  </si>
  <si>
    <t>SF5127722665550</t>
  </si>
  <si>
    <t>6</t>
  </si>
  <si>
    <t>SF5127754205822</t>
  </si>
  <si>
    <t>7</t>
  </si>
  <si>
    <t>SF5127766316133</t>
  </si>
  <si>
    <t>大连</t>
  </si>
  <si>
    <t>大连浩源满航空服务有限公司</t>
  </si>
  <si>
    <t>寄转第三方</t>
  </si>
  <si>
    <t>刘志强</t>
  </si>
  <si>
    <t>8</t>
  </si>
  <si>
    <t>01-04</t>
  </si>
  <si>
    <t>SF5106805081938</t>
  </si>
  <si>
    <t>2.600</t>
  </si>
  <si>
    <t>13.00</t>
  </si>
  <si>
    <t>运费</t>
  </si>
  <si>
    <t>9</t>
  </si>
  <si>
    <t>4.00</t>
  </si>
  <si>
    <t>包装服务</t>
  </si>
  <si>
    <t>10</t>
  </si>
  <si>
    <t>SF5106805988745</t>
  </si>
  <si>
    <t>1.000</t>
  </si>
  <si>
    <t>11.00</t>
  </si>
  <si>
    <t>11</t>
  </si>
  <si>
    <t>SF5106821124886</t>
  </si>
  <si>
    <t>长安波仕音乐量贩KTV(乌沙店)</t>
  </si>
  <si>
    <t>12</t>
  </si>
  <si>
    <t>SF5106834884492</t>
  </si>
  <si>
    <t>清溪小田湘·湖南土菜馆</t>
  </si>
  <si>
    <t>13</t>
  </si>
  <si>
    <t>SF5127617611694</t>
  </si>
  <si>
    <t>14</t>
  </si>
  <si>
    <t>01-05</t>
  </si>
  <si>
    <t>15</t>
  </si>
  <si>
    <t>16</t>
  </si>
  <si>
    <t>派件微派</t>
  </si>
  <si>
    <t>17</t>
  </si>
  <si>
    <t>01-06</t>
  </si>
  <si>
    <t>18</t>
  </si>
  <si>
    <t>19</t>
  </si>
  <si>
    <t>01-07</t>
  </si>
  <si>
    <t>SF5103369030090</t>
  </si>
  <si>
    <t>深圳</t>
  </si>
  <si>
    <t>嘉嘉电</t>
  </si>
  <si>
    <t>12.00</t>
  </si>
  <si>
    <t>刘诗雨</t>
  </si>
  <si>
    <t>本部</t>
  </si>
  <si>
    <t>20</t>
  </si>
  <si>
    <t>01-09</t>
  </si>
  <si>
    <t>SF3265855044685</t>
  </si>
  <si>
    <t>3.500</t>
  </si>
  <si>
    <t>18.00</t>
  </si>
  <si>
    <t>21</t>
  </si>
  <si>
    <t>5.00</t>
  </si>
  <si>
    <t>22</t>
  </si>
  <si>
    <t>SF3265863387051</t>
  </si>
  <si>
    <t>23</t>
  </si>
  <si>
    <t>1.00</t>
  </si>
  <si>
    <t>24</t>
  </si>
  <si>
    <t>SF5103182724031</t>
  </si>
  <si>
    <t>3.300</t>
  </si>
  <si>
    <t>25</t>
  </si>
  <si>
    <t>26</t>
  </si>
  <si>
    <t>SF5127575538745</t>
  </si>
  <si>
    <t>27</t>
  </si>
  <si>
    <t>28</t>
  </si>
  <si>
    <t>SF5127597048630</t>
  </si>
  <si>
    <t>9.700</t>
  </si>
  <si>
    <t>30.00</t>
  </si>
  <si>
    <t>29</t>
  </si>
  <si>
    <t>30</t>
  </si>
  <si>
    <t>01-10</t>
  </si>
  <si>
    <t>31</t>
  </si>
  <si>
    <t>32</t>
  </si>
  <si>
    <t>33</t>
  </si>
  <si>
    <t>34</t>
  </si>
  <si>
    <t>35</t>
  </si>
  <si>
    <t>01-16</t>
  </si>
  <si>
    <t>SF3267130908673</t>
  </si>
  <si>
    <t>金华</t>
  </si>
  <si>
    <t>甘骞</t>
  </si>
  <si>
    <t>魅KTV</t>
  </si>
  <si>
    <t>36</t>
  </si>
  <si>
    <t>37</t>
  </si>
  <si>
    <t>01-17</t>
  </si>
  <si>
    <t>合 计</t>
  </si>
  <si>
    <t>298.00</t>
  </si>
  <si>
    <t/>
  </si>
  <si>
    <t>运单号</t>
  </si>
  <si>
    <t>系统订单号</t>
  </si>
  <si>
    <t>照片是否导出</t>
  </si>
  <si>
    <t>批次号</t>
  </si>
  <si>
    <t>服务状态</t>
  </si>
  <si>
    <t>商户订单号</t>
  </si>
  <si>
    <t>上门小哥手机号</t>
  </si>
  <si>
    <t>物流状态</t>
  </si>
  <si>
    <t>是否打印</t>
  </si>
  <si>
    <t>预计上门时间</t>
  </si>
  <si>
    <t>收件人</t>
  </si>
  <si>
    <t>收件手机</t>
  </si>
  <si>
    <t>收件电话</t>
  </si>
  <si>
    <t>收件公司</t>
  </si>
  <si>
    <t>收件详细地址</t>
  </si>
  <si>
    <t>寄件人</t>
  </si>
  <si>
    <t>寄件电话</t>
  </si>
  <si>
    <t>寄方备注</t>
  </si>
  <si>
    <t>寄件公司</t>
  </si>
  <si>
    <t>寄件详细地址</t>
  </si>
  <si>
    <t>托寄物内容</t>
  </si>
  <si>
    <t>托寄物数量</t>
  </si>
  <si>
    <t>件数</t>
  </si>
  <si>
    <t>包裹重量(kg)</t>
  </si>
  <si>
    <t>运费付款方式</t>
  </si>
  <si>
    <t>物流产品</t>
  </si>
  <si>
    <t>自取</t>
  </si>
  <si>
    <t>定额保价金额(元)</t>
  </si>
  <si>
    <t>基础保价金额(元)</t>
  </si>
  <si>
    <t>密钥认证</t>
  </si>
  <si>
    <t>下单时间</t>
  </si>
  <si>
    <t>接单人姓名</t>
  </si>
  <si>
    <t>任务完成时间</t>
  </si>
  <si>
    <t>接单人手机</t>
  </si>
  <si>
    <t>签收完成时间</t>
  </si>
  <si>
    <t>月结卡号</t>
  </si>
  <si>
    <t>下call上门收件</t>
  </si>
  <si>
    <t>标记</t>
  </si>
  <si>
    <t>异常原因</t>
  </si>
  <si>
    <t>补宝-物流服务</t>
  </si>
  <si>
    <t>WP26010401103205</t>
  </si>
  <si>
    <t>未导出</t>
  </si>
  <si>
    <t>BAT260104132187</t>
  </si>
  <si>
    <t>已完成</t>
  </si>
  <si>
    <t>派送成功</t>
  </si>
  <si>
    <t>未打印</t>
  </si>
  <si>
    <t>2026-01-05 12:00</t>
  </si>
  <si>
    <t>邹*华</t>
  </si>
  <si>
    <t>186****6788‎‎‎‬‬‬</t>
  </si>
  <si>
    <t>*******6788‎‎‎‬‬‬</t>
  </si>
  <si>
    <t>长安波仕************</t>
  </si>
  <si>
    <t>广东省东莞市长安 镇乌沙社区*****‎‎‎‬‬‬</t>
  </si>
  <si>
    <t>补一楼立充机器里面</t>
  </si>
  <si>
    <t>广东省东莞市东城街道东纵路东城段208号 东城万达中心写**********‎‎‎‬‬‬</t>
  </si>
  <si>
    <t>充电宝</t>
  </si>
  <si>
    <t>寄付月结</t>
  </si>
  <si>
    <t>否</t>
  </si>
  <si>
    <t>2026-01-04 15:59:17</t>
  </si>
  <si>
    <t>186****6788</t>
  </si>
  <si>
    <t>林浩</t>
  </si>
  <si>
    <t>2026-01-05 15:48:25</t>
  </si>
  <si>
    <t>132****7218‎‎‎‬‬‬</t>
  </si>
  <si>
    <t>2026-01-05 15:48:30</t>
  </si>
  <si>
    <t>是</t>
  </si>
  <si>
    <t>WP26010401100701</t>
  </si>
  <si>
    <t>BAT260104131990</t>
  </si>
  <si>
    <t>2026-01-05 15:47:49</t>
  </si>
  <si>
    <t>2026-01-05 15:47:54</t>
  </si>
  <si>
    <t>WP26010400131549</t>
  </si>
  <si>
    <t>BAT260104033681</t>
  </si>
  <si>
    <t>清溪小田*******</t>
  </si>
  <si>
    <t>广东省东莞市清溪镇********* ****‎‎‎‬‬‬</t>
  </si>
  <si>
    <t>进店插立充充电宝的宝</t>
  </si>
  <si>
    <t>2026-01-04 10:58:55</t>
  </si>
  <si>
    <t>柴琪</t>
  </si>
  <si>
    <t>2026-01-04 16:09:35</t>
  </si>
  <si>
    <t>176****2551‎‎‎‬‬‬</t>
  </si>
  <si>
    <t>2026-01-04 16:09:41</t>
  </si>
  <si>
    <t>补宝-仅物流</t>
  </si>
  <si>
    <t>WP26010713353562</t>
  </si>
  <si>
    <t>BAT260107021473</t>
  </si>
  <si>
    <t>2026-01-08 12:00</t>
  </si>
  <si>
    <t>吴*欣</t>
  </si>
  <si>
    <t>137****3997‎‎‎‬‬‬</t>
  </si>
  <si>
    <t>*******3997‎‎‎‬‬‬</t>
  </si>
  <si>
    <t>嘉**</t>
  </si>
  <si>
    <t>深圳市南山区***** ****************‎‎‎‬‬‬</t>
  </si>
  <si>
    <t>刘*雨</t>
  </si>
  <si>
    <t>*******0776‎‎‎‬‬‬</t>
  </si>
  <si>
    <t>广东省 深圳市龙华区********************‎‎‎‬‬‬</t>
  </si>
  <si>
    <t>2026-01-07 09:46:54</t>
  </si>
  <si>
    <t>137****3997</t>
  </si>
  <si>
    <t>2026-01-07 16:32:45</t>
  </si>
  <si>
    <t>******3218</t>
  </si>
  <si>
    <t>WP26011652740695</t>
  </si>
  <si>
    <t>BAT260116265535</t>
  </si>
  <si>
    <t>15778885720</t>
  </si>
  <si>
    <t>2026-01-17 18:00</t>
  </si>
  <si>
    <t>甘*</t>
  </si>
  <si>
    <t>166****7627‎‎‎‬‬‬</t>
  </si>
  <si>
    <t>浙江省兰溪市兰江街道金角路1333号** ********‎‎‎‬‬‬</t>
  </si>
  <si>
    <t>魅**V</t>
  </si>
  <si>
    <t>*******2046‎‎‎‬‬‬</t>
  </si>
  <si>
    <t>深圳市罗湖区***** **********‎‎‎‬‬‬</t>
  </si>
  <si>
    <t>2026-01-16 18:09:37</t>
  </si>
  <si>
    <t>134****9085</t>
  </si>
  <si>
    <t>彭云</t>
  </si>
  <si>
    <t>2026-01-16 18:37:43</t>
  </si>
  <si>
    <t>157****5720‎‎‎‬‬‬</t>
  </si>
  <si>
    <t>2026-01-18 13:20:22</t>
  </si>
  <si>
    <t>SF3267046169283</t>
  </si>
  <si>
    <t>WP26011652045997</t>
  </si>
  <si>
    <t>BAT260116196352</t>
  </si>
  <si>
    <t>已取消</t>
  </si>
  <si>
    <t>*******0969‎‎‎‬‬‬</t>
  </si>
  <si>
    <t>2026-01-16 16:54:24</t>
  </si>
  <si>
    <t>SF5127526237848</t>
  </si>
  <si>
    <t>WP26010923451208</t>
  </si>
  <si>
    <t>BAT260109127192</t>
  </si>
  <si>
    <t>待接单</t>
  </si>
  <si>
    <t>15986662914</t>
  </si>
  <si>
    <t>未收件</t>
  </si>
  <si>
    <t>门口取立充充电宝的宝2个</t>
  </si>
  <si>
    <t>深圳罗湖泉记客家风味食府</t>
  </si>
  <si>
    <t>广东省深圳市罗 湖区**********************‎‎‎‬‬‬</t>
  </si>
  <si>
    <t>顺丰特快</t>
  </si>
  <si>
    <t>2026-01-09 15:33:16</t>
  </si>
  <si>
    <t>WP26010923448618</t>
  </si>
  <si>
    <t>BAT260109126930</t>
  </si>
  <si>
    <t>2026-01-10 12:00</t>
  </si>
  <si>
    <t>进店取立充充电宝的宝2个</t>
  </si>
  <si>
    <t>杨建</t>
  </si>
  <si>
    <t>2026-01-09 16:14:39</t>
  </si>
  <si>
    <t>159****2914‎‎‎‬‬‬</t>
  </si>
  <si>
    <t>2026-01-10 08:26:12</t>
  </si>
  <si>
    <t>SF5103058067049</t>
  </si>
  <si>
    <t>WP26010922769893</t>
  </si>
  <si>
    <t>BAT260109056568</t>
  </si>
  <si>
    <t>13246188810</t>
  </si>
  <si>
    <t>石湾四个朋友龙湾新城一期店</t>
  </si>
  <si>
    <t>广东省惠州市博罗县*** **************‎‎‎‬‬‬</t>
  </si>
  <si>
    <t>2026-01-09 11:47:06</t>
  </si>
  <si>
    <t>SF5103058067191</t>
  </si>
  <si>
    <t>WP26010922767003</t>
  </si>
  <si>
    <t>BAT260109056262</t>
  </si>
  <si>
    <t>WP26010922417043</t>
  </si>
  <si>
    <t>BAT260109020664</t>
  </si>
  <si>
    <t>15602486465</t>
  </si>
  <si>
    <t>宝安西乡森林汇大牌渔庄(臣田店)</t>
  </si>
  <si>
    <t>广东 省深圳市宝安区***************‎‎‎‬‬‬</t>
  </si>
  <si>
    <t>2026-01-09 09:54:02</t>
  </si>
  <si>
    <t>杨立伟</t>
  </si>
  <si>
    <t>2026-01-09 10:32:42</t>
  </si>
  <si>
    <t>156****6465‎‎‎‬‬‬</t>
  </si>
  <si>
    <t>WP26010922411489</t>
  </si>
  <si>
    <t>BAT260109020106</t>
  </si>
  <si>
    <t>2026-01-09 10:33:09</t>
  </si>
  <si>
    <t>WP26010400451881</t>
  </si>
  <si>
    <t>BAT260104065779</t>
  </si>
  <si>
    <t>18688099345</t>
  </si>
  <si>
    <t>企石忆兴39位自助酱骨头火锅</t>
  </si>
  <si>
    <t>广东省东莞市企石镇*** *******‎‎‎‬‬‬</t>
  </si>
  <si>
    <t>2026-01-04 12:34:12</t>
  </si>
  <si>
    <t>罗流明</t>
  </si>
  <si>
    <t>2026-01-04 13:18:11</t>
  </si>
  <si>
    <t>186****9345‎‎‎‬‬‬</t>
  </si>
  <si>
    <t>2026-01-05 08:29:00</t>
  </si>
  <si>
    <t>SF5106805179236</t>
  </si>
  <si>
    <t>WP26010400448753</t>
  </si>
  <si>
    <t>BAT260104065458</t>
  </si>
  <si>
    <t>2026-01-04 12:32:09</t>
  </si>
  <si>
    <t>SF5103003341641</t>
  </si>
  <si>
    <t>WP26010923455169</t>
  </si>
  <si>
    <t>BAT260109127596</t>
  </si>
  <si>
    <t>进店取立充充电宝的机柜</t>
  </si>
  <si>
    <t>充电宝机柜</t>
  </si>
  <si>
    <t>2026-01-09 15:34:07</t>
  </si>
  <si>
    <t>SF3265889459944</t>
  </si>
  <si>
    <t>WP26010922763195</t>
  </si>
  <si>
    <t>BAT260109055859</t>
  </si>
  <si>
    <t>进店取立充充电宝的架子</t>
  </si>
  <si>
    <t>充电宝架子</t>
  </si>
  <si>
    <t>2026-01-09 11:45:20</t>
  </si>
  <si>
    <t>SF5127508764809</t>
  </si>
  <si>
    <t>WP26010922759940</t>
  </si>
  <si>
    <t>BAT260109055513</t>
  </si>
  <si>
    <t>WP26010922420295</t>
  </si>
  <si>
    <t>BAT260109021014</t>
  </si>
  <si>
    <t>2026-01-09 09:55:23</t>
  </si>
  <si>
    <t>2026-01-09 10:41:42</t>
  </si>
  <si>
    <t>WP26010922419036</t>
  </si>
  <si>
    <t>BAT260109020881</t>
  </si>
  <si>
    <t>2026-01-09 10:21:37</t>
  </si>
  <si>
    <t>WP26010400450435</t>
  </si>
  <si>
    <t>BAT260104065629</t>
  </si>
  <si>
    <t>2026-01-04 12:33:12</t>
  </si>
  <si>
    <t>2026-01-04 13:24:29</t>
  </si>
  <si>
    <t>手机号</t>
  </si>
  <si>
    <t>165****7666</t>
  </si>
  <si>
    <t>深圳市锐丰伟业科技有限公司</t>
  </si>
  <si>
    <t>服务商</t>
  </si>
  <si>
    <t>186****8003</t>
  </si>
  <si>
    <t>河北亘石信息科技有限公司</t>
  </si>
  <si>
    <t>155****0885</t>
  </si>
  <si>
    <t>134****6101</t>
  </si>
  <si>
    <t>成都江源易通信息技术有限公司</t>
  </si>
  <si>
    <t>156****1234</t>
  </si>
  <si>
    <t>内蒙古悦盈科技有限公司</t>
  </si>
  <si>
    <t>137****1781</t>
  </si>
  <si>
    <t>东莞市聚伴科技有限公司</t>
  </si>
  <si>
    <t>181****5776</t>
  </si>
  <si>
    <t>福建无现新生信息科技有限公司</t>
  </si>
  <si>
    <t>136****7868</t>
  </si>
  <si>
    <t>山东省点线面网络科技有限公司</t>
  </si>
  <si>
    <t>131****2614</t>
  </si>
  <si>
    <t>辽宁深蓝数据服务有限公司</t>
  </si>
  <si>
    <t>158****6590</t>
  </si>
  <si>
    <t>江西森楠科技有限公司</t>
  </si>
  <si>
    <t>187****4440</t>
  </si>
  <si>
    <t>长治市聚英科技有限公司</t>
  </si>
  <si>
    <t>130****4667</t>
  </si>
  <si>
    <t>广东久益智付科技有限公司</t>
  </si>
  <si>
    <t>182****9884</t>
  </si>
  <si>
    <t>太原舍予科技有限公司</t>
  </si>
  <si>
    <t>166****4444</t>
  </si>
  <si>
    <t>新疆拓海电子科技有限公司</t>
  </si>
  <si>
    <t>155****0885‎‎‎‬‬‬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</si>
</sst>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b/>
      <sz val="9"/>
      <color indexed="9"/>
      <name val="Calibri"/>
      <charset val="134"/>
    </font>
    <font>
      <sz val="10"/>
      <color rgb="FF000000"/>
      <name val="Microsoft YaHei"/>
      <charset val="134"/>
    </font>
    <font>
      <b/>
      <sz val="12"/>
      <name val="Calibri"/>
      <charset val="134"/>
    </font>
    <font>
      <b/>
      <sz val="9"/>
      <color rgb="FFFFFFFF"/>
      <name val="宋体"/>
      <charset val="134"/>
    </font>
    <font>
      <sz val="9"/>
      <color rgb="FFFFFFFF"/>
      <name val="宋体"/>
      <charset val="134"/>
      <scheme val="minor"/>
    </font>
    <font>
      <sz val="9"/>
      <name val="Calibri"/>
      <charset val="134"/>
    </font>
    <font>
      <b/>
      <sz val="18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2"/>
      <color rgb="FFC00000"/>
      <name val="Calibri"/>
      <charset val="134"/>
    </font>
    <font>
      <b/>
      <sz val="11"/>
      <color indexed="9"/>
      <name val="Calibri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17" applyNumberFormat="0" applyAlignment="0" applyProtection="0">
      <alignment vertical="center"/>
    </xf>
    <xf numFmtId="0" fontId="25" fillId="6" borderId="18" applyNumberFormat="0" applyAlignment="0" applyProtection="0">
      <alignment vertical="center"/>
    </xf>
    <xf numFmtId="0" fontId="26" fillId="6" borderId="17" applyNumberFormat="0" applyAlignment="0" applyProtection="0">
      <alignment vertical="center"/>
    </xf>
    <xf numFmtId="0" fontId="27" fillId="7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37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NumberFormat="1" applyFont="1" applyFill="1" applyAlignment="1"/>
    <xf numFmtId="0" fontId="2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6" xfId="0" applyNumberFormat="1" applyFont="1" applyFill="1" applyBorder="1" applyAlignment="1"/>
    <xf numFmtId="0" fontId="0" fillId="0" borderId="7" xfId="0" applyNumberFormat="1" applyFont="1" applyFill="1" applyBorder="1" applyAlignment="1"/>
    <xf numFmtId="0" fontId="9" fillId="0" borderId="8" xfId="0" applyFont="1" applyBorder="1" applyAlignment="1">
      <alignment horizontal="center" vertical="center"/>
    </xf>
    <xf numFmtId="0" fontId="0" fillId="0" borderId="9" xfId="0" applyNumberFormat="1" applyFont="1" applyFill="1" applyBorder="1" applyAlignme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13" fillId="3" borderId="10" xfId="0" applyFont="1" applyFill="1" applyBorder="1" applyAlignment="1">
      <alignment horizontal="left" vertical="center"/>
    </xf>
    <xf numFmtId="0" fontId="0" fillId="0" borderId="11" xfId="0" applyNumberFormat="1" applyFont="1" applyFill="1" applyBorder="1" applyAlignment="1"/>
    <xf numFmtId="0" fontId="13" fillId="3" borderId="10" xfId="0" applyFont="1" applyFill="1" applyBorder="1" applyAlignment="1">
      <alignment horizontal="right" vertical="center"/>
    </xf>
    <xf numFmtId="0" fontId="10" fillId="0" borderId="12" xfId="0" applyFont="1" applyBorder="1" applyAlignment="1">
      <alignment horizontal="left" vertical="center"/>
    </xf>
    <xf numFmtId="0" fontId="0" fillId="0" borderId="13" xfId="0" applyNumberFormat="1" applyFont="1" applyFill="1" applyBorder="1" applyAlignment="1"/>
    <xf numFmtId="4" fontId="10" fillId="0" borderId="12" xfId="0" applyNumberFormat="1" applyFont="1" applyBorder="1" applyAlignment="1">
      <alignment horizontal="right" vertical="center"/>
    </xf>
    <xf numFmtId="4" fontId="13" fillId="3" borderId="10" xfId="0" applyNumberFormat="1" applyFont="1" applyFill="1" applyBorder="1" applyAlignment="1">
      <alignment horizontal="right" vertical="center"/>
    </xf>
    <xf numFmtId="0" fontId="14" fillId="0" borderId="0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0</xdr:row>
      <xdr:rowOff>40000</xdr:rowOff>
    </xdr:from>
    <xdr:to>
      <xdr:col>11</xdr:col>
      <xdr:colOff>453712</xdr:colOff>
      <xdr:row>2</xdr:row>
      <xdr:rowOff>144987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9420" y="39370"/>
          <a:ext cx="453390" cy="49022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9</xdr:col>
      <xdr:colOff>322258</xdr:colOff>
      <xdr:row>13</xdr:row>
      <xdr:rowOff>180975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37760" y="1501140"/>
          <a:ext cx="939165" cy="11106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2</xdr:rowOff>
    </xdr:from>
    <xdr:to>
      <xdr:col>9</xdr:col>
      <xdr:colOff>0</xdr:colOff>
      <xdr:row>220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5554980" cy="4023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45"/>
  <sheetViews>
    <sheetView showGridLines="0" tabSelected="1" workbookViewId="0">
      <selection activeCell="O18" sqref="O18"/>
    </sheetView>
  </sheetViews>
  <sheetFormatPr defaultColWidth="9" defaultRowHeight="14.4"/>
  <sheetData>
    <row r="1" ht="15.15" spans="2:12">
      <c r="B1" s="21" t="s">
        <v>0</v>
      </c>
    </row>
    <row r="2" ht="15.15"/>
    <row r="3" ht="15.15" spans="2:12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ht="15.15"/>
    <row r="5" spans="2:12">
      <c r="B5" s="23" t="s">
        <v>1</v>
      </c>
      <c r="D5" s="23" t="s">
        <v>2</v>
      </c>
      <c r="H5" s="23" t="s">
        <v>3</v>
      </c>
      <c r="J5" s="23" t="s">
        <v>4</v>
      </c>
    </row>
    <row r="6" spans="2:12">
      <c r="B6" s="23" t="s">
        <v>5</v>
      </c>
      <c r="D6" s="23" t="s">
        <v>6</v>
      </c>
      <c r="H6" s="23" t="s">
        <v>7</v>
      </c>
      <c r="J6" s="23" t="s">
        <v>8</v>
      </c>
    </row>
    <row r="7" spans="2:12">
      <c r="B7" s="23" t="s">
        <v>9</v>
      </c>
      <c r="D7" s="23" t="s">
        <v>10</v>
      </c>
      <c r="H7" s="23" t="s">
        <v>11</v>
      </c>
      <c r="J7" s="23" t="s">
        <v>12</v>
      </c>
    </row>
    <row r="8" spans="2:12">
      <c r="B8" s="24" t="s">
        <v>13</v>
      </c>
      <c r="D8" s="24" t="s">
        <v>14</v>
      </c>
      <c r="H8" s="23" t="s">
        <v>15</v>
      </c>
      <c r="J8" s="23" t="s">
        <v>16</v>
      </c>
    </row>
    <row r="11" ht="15.6" spans="2:12">
      <c r="B11" s="25" t="s">
        <v>17</v>
      </c>
      <c r="E11" s="26" t="s">
        <v>18</v>
      </c>
    </row>
    <row r="12" spans="2:12">
      <c r="B12" s="23" t="s">
        <v>19</v>
      </c>
      <c r="E12" s="27" t="s">
        <v>18</v>
      </c>
    </row>
    <row r="13" spans="2:12">
      <c r="B13" s="23" t="s">
        <v>20</v>
      </c>
      <c r="E13" s="27" t="s">
        <v>21</v>
      </c>
    </row>
    <row r="16" ht="15.15" spans="2:12">
      <c r="B16" s="28" t="s">
        <v>22</v>
      </c>
      <c r="C16" s="29"/>
      <c r="D16" s="30" t="s">
        <v>23</v>
      </c>
      <c r="E16" s="29"/>
      <c r="F16" s="29"/>
      <c r="G16" s="30" t="s">
        <v>24</v>
      </c>
      <c r="H16" s="29"/>
      <c r="I16" s="29"/>
      <c r="J16" s="30" t="s">
        <v>25</v>
      </c>
      <c r="K16" s="29"/>
      <c r="L16" s="29"/>
    </row>
    <row r="17" spans="2:12">
      <c r="B17" s="31" t="s">
        <v>26</v>
      </c>
      <c r="C17" s="32"/>
      <c r="D17" s="33">
        <v>298</v>
      </c>
      <c r="E17" s="32"/>
      <c r="F17" s="32"/>
      <c r="G17" s="33">
        <v>0</v>
      </c>
      <c r="H17" s="32"/>
      <c r="I17" s="32"/>
      <c r="J17" s="33">
        <v>298</v>
      </c>
      <c r="K17" s="32"/>
      <c r="L17" s="32"/>
    </row>
    <row r="18" ht="15.15" spans="2:12">
      <c r="B18" s="28" t="s">
        <v>27</v>
      </c>
      <c r="C18" s="29"/>
      <c r="D18" s="34">
        <v>298</v>
      </c>
      <c r="E18" s="29"/>
      <c r="F18" s="29"/>
      <c r="G18" s="34">
        <v>0</v>
      </c>
      <c r="H18" s="29"/>
      <c r="I18" s="29"/>
      <c r="J18" s="34">
        <v>298</v>
      </c>
      <c r="K18" s="29"/>
      <c r="L18" s="29"/>
    </row>
    <row r="21" spans="2:12">
      <c r="B21" s="24" t="s">
        <v>28</v>
      </c>
    </row>
    <row r="22" spans="2:12">
      <c r="B22" s="35" t="s">
        <v>29</v>
      </c>
    </row>
    <row r="23" spans="2:12">
      <c r="B23" s="36" t="s">
        <v>30</v>
      </c>
      <c r="C23" s="36" t="s">
        <v>31</v>
      </c>
      <c r="D23" s="32"/>
      <c r="E23" s="32"/>
      <c r="F23" s="32"/>
    </row>
    <row r="24" spans="2:12">
      <c r="B24" s="36" t="s">
        <v>32</v>
      </c>
      <c r="C24" s="36" t="s">
        <v>33</v>
      </c>
      <c r="D24" s="32"/>
      <c r="E24" s="32"/>
      <c r="F24" s="32"/>
    </row>
    <row r="25" spans="2:12">
      <c r="B25" s="36" t="s">
        <v>34</v>
      </c>
      <c r="C25" s="36" t="s">
        <v>35</v>
      </c>
      <c r="D25" s="32"/>
      <c r="E25" s="32"/>
      <c r="F25" s="32"/>
    </row>
    <row r="28" spans="2:12">
      <c r="B28" s="24" t="s">
        <v>36</v>
      </c>
    </row>
    <row r="29" spans="2:12">
      <c r="B29" s="36" t="s">
        <v>37</v>
      </c>
      <c r="C29" s="36" t="s">
        <v>38</v>
      </c>
      <c r="D29" s="32"/>
      <c r="E29" s="32"/>
      <c r="F29" s="32"/>
      <c r="H29" s="36" t="s">
        <v>39</v>
      </c>
      <c r="I29" s="36" t="s">
        <v>40</v>
      </c>
      <c r="J29" s="32"/>
      <c r="K29" s="32"/>
      <c r="L29" s="32"/>
    </row>
    <row r="31" spans="2:12">
      <c r="B31" s="24" t="s">
        <v>41</v>
      </c>
    </row>
    <row r="32" spans="2:12">
      <c r="B32" s="35" t="s">
        <v>42</v>
      </c>
    </row>
    <row r="33" spans="2:2">
      <c r="B33" s="35" t="s">
        <v>43</v>
      </c>
    </row>
    <row r="34" spans="2:2">
      <c r="B34" s="35" t="s">
        <v>44</v>
      </c>
    </row>
    <row r="35" spans="2:2">
      <c r="B35" s="35" t="s">
        <v>45</v>
      </c>
    </row>
    <row r="36" spans="2:2">
      <c r="B36" s="35" t="s">
        <v>46</v>
      </c>
    </row>
    <row r="37" spans="2:2">
      <c r="B37" s="35" t="s">
        <v>47</v>
      </c>
    </row>
    <row r="38" spans="2:2">
      <c r="B38" s="35" t="s">
        <v>48</v>
      </c>
    </row>
    <row r="39" spans="2:2">
      <c r="B39" s="35" t="s">
        <v>49</v>
      </c>
    </row>
    <row r="40" spans="2:2">
      <c r="B40" s="35" t="s">
        <v>50</v>
      </c>
    </row>
    <row r="41" spans="2:2">
      <c r="B41" s="35" t="s">
        <v>51</v>
      </c>
    </row>
    <row r="42" spans="2:2">
      <c r="B42" s="35" t="s">
        <v>52</v>
      </c>
    </row>
    <row r="43" spans="2:2">
      <c r="B43" s="35" t="s">
        <v>53</v>
      </c>
    </row>
    <row r="44" spans="2:2">
      <c r="B44" s="35" t="s">
        <v>54</v>
      </c>
    </row>
    <row r="45" spans="2:2">
      <c r="B45" s="35" t="s">
        <v>55</v>
      </c>
    </row>
  </sheetData>
  <mergeCells count="58">
    <mergeCell ref="B5:C5"/>
    <mergeCell ref="D5:G5"/>
    <mergeCell ref="H5:I5"/>
    <mergeCell ref="J5:L5"/>
    <mergeCell ref="B6:C6"/>
    <mergeCell ref="D6:G6"/>
    <mergeCell ref="H6:I6"/>
    <mergeCell ref="J6:L6"/>
    <mergeCell ref="B7:C7"/>
    <mergeCell ref="D7:G7"/>
    <mergeCell ref="H7:I7"/>
    <mergeCell ref="J7:L7"/>
    <mergeCell ref="B8:C8"/>
    <mergeCell ref="D8:G8"/>
    <mergeCell ref="H8:I8"/>
    <mergeCell ref="J8:L8"/>
    <mergeCell ref="B11:D11"/>
    <mergeCell ref="E11:F11"/>
    <mergeCell ref="B12:D12"/>
    <mergeCell ref="E12:F12"/>
    <mergeCell ref="B13:D13"/>
    <mergeCell ref="E13:F13"/>
    <mergeCell ref="B16:C16"/>
    <mergeCell ref="D16:F16"/>
    <mergeCell ref="G16:I16"/>
    <mergeCell ref="J16:L16"/>
    <mergeCell ref="B17:C17"/>
    <mergeCell ref="D17:F17"/>
    <mergeCell ref="G17:I17"/>
    <mergeCell ref="J17:L17"/>
    <mergeCell ref="B18:C18"/>
    <mergeCell ref="D18:F18"/>
    <mergeCell ref="G18:I18"/>
    <mergeCell ref="J18:L18"/>
    <mergeCell ref="B21:L21"/>
    <mergeCell ref="B22:F22"/>
    <mergeCell ref="C23:F23"/>
    <mergeCell ref="C24:F24"/>
    <mergeCell ref="C25:F25"/>
    <mergeCell ref="B28:L28"/>
    <mergeCell ref="C29:F29"/>
    <mergeCell ref="I29:L29"/>
    <mergeCell ref="B31:L31"/>
    <mergeCell ref="B32:L32"/>
    <mergeCell ref="B33:L33"/>
    <mergeCell ref="B34:L34"/>
    <mergeCell ref="B35:L35"/>
    <mergeCell ref="B36:L36"/>
    <mergeCell ref="B37:L37"/>
    <mergeCell ref="B38:L38"/>
    <mergeCell ref="B39:L39"/>
    <mergeCell ref="B40:L40"/>
    <mergeCell ref="B41:L41"/>
    <mergeCell ref="B42:L42"/>
    <mergeCell ref="B43:L43"/>
    <mergeCell ref="B44:L44"/>
    <mergeCell ref="B45:L45"/>
    <mergeCell ref="B1:L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"/>
  <sheetViews>
    <sheetView workbookViewId="0">
      <selection activeCell="A9" sqref="$A9:$XFD9"/>
    </sheetView>
  </sheetViews>
  <sheetFormatPr defaultColWidth="9" defaultRowHeight="14.4"/>
  <cols>
    <col min="3" max="3" width="16" customWidth="1"/>
    <col min="15" max="15" width="28.7777777777778" customWidth="1"/>
    <col min="16" max="16" width="13" customWidth="1"/>
    <col min="17" max="17" width="28.2222222222222" customWidth="1"/>
  </cols>
  <sheetData>
    <row r="1" ht="15.6" spans="1:19">
      <c r="A1" s="10" t="s">
        <v>56</v>
      </c>
    </row>
    <row r="2" spans="1:19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24</v>
      </c>
      <c r="L2" s="4" t="s">
        <v>25</v>
      </c>
      <c r="M2" s="4" t="s">
        <v>67</v>
      </c>
      <c r="N2" s="4" t="s">
        <v>68</v>
      </c>
      <c r="O2" s="11" t="s">
        <v>69</v>
      </c>
      <c r="P2" s="12" t="s">
        <v>70</v>
      </c>
      <c r="Q2" s="13" t="s">
        <v>71</v>
      </c>
      <c r="R2" s="14" t="s">
        <v>72</v>
      </c>
      <c r="S2" s="4" t="s">
        <v>73</v>
      </c>
    </row>
    <row r="3" ht="15" spans="1:19">
      <c r="A3" s="15" t="s">
        <v>74</v>
      </c>
      <c r="B3" s="15" t="s">
        <v>75</v>
      </c>
      <c r="C3" s="15" t="s">
        <v>76</v>
      </c>
      <c r="D3" s="15" t="s">
        <v>77</v>
      </c>
      <c r="E3" s="15" t="s">
        <v>77</v>
      </c>
      <c r="F3" s="15" t="s">
        <v>78</v>
      </c>
      <c r="G3" s="15" t="s">
        <v>79</v>
      </c>
      <c r="H3" s="15" t="s">
        <v>80</v>
      </c>
      <c r="I3" s="15" t="s">
        <v>81</v>
      </c>
      <c r="J3" s="15" t="s">
        <v>82</v>
      </c>
      <c r="K3" s="15" t="s">
        <v>83</v>
      </c>
      <c r="L3" s="15" t="s">
        <v>82</v>
      </c>
      <c r="M3" s="15" t="s">
        <v>78</v>
      </c>
      <c r="N3" s="15" t="s">
        <v>84</v>
      </c>
      <c r="O3" t="str">
        <f>VLOOKUP(C3,Sheet2!A:C,2,FALSE)</f>
        <v>取宝-物流服务</v>
      </c>
      <c r="P3" t="str">
        <f>VLOOKUP(C3,Sheet2!G:H,2,FALSE)</f>
        <v>186****6788</v>
      </c>
      <c r="Q3" s="16" t="s">
        <v>85</v>
      </c>
    </row>
    <row r="4" ht="15" spans="1:19">
      <c r="A4" s="15" t="s">
        <v>86</v>
      </c>
      <c r="B4" s="15" t="s">
        <v>75</v>
      </c>
      <c r="C4" s="15" t="s">
        <v>87</v>
      </c>
      <c r="D4" s="15" t="s">
        <v>77</v>
      </c>
      <c r="E4" s="15" t="s">
        <v>77</v>
      </c>
      <c r="F4" s="15" t="s">
        <v>78</v>
      </c>
      <c r="G4" s="15" t="s">
        <v>79</v>
      </c>
      <c r="H4" s="15" t="s">
        <v>80</v>
      </c>
      <c r="I4" s="15" t="s">
        <v>81</v>
      </c>
      <c r="J4" s="15" t="s">
        <v>88</v>
      </c>
      <c r="K4" s="15" t="s">
        <v>83</v>
      </c>
      <c r="L4" s="15" t="s">
        <v>88</v>
      </c>
      <c r="M4" s="15" t="s">
        <v>78</v>
      </c>
      <c r="N4" s="15" t="s">
        <v>84</v>
      </c>
      <c r="O4" t="str">
        <f>VLOOKUP(C4,Sheet2!A:C,2,FALSE)</f>
        <v>立充充电宝取机柜-物流服务</v>
      </c>
      <c r="P4" t="str">
        <f>VLOOKUP(C4,Sheet2!G:H,2,FALSE)</f>
        <v>186****6788</v>
      </c>
      <c r="Q4" s="16" t="s">
        <v>85</v>
      </c>
    </row>
    <row r="5" ht="15.6" spans="1:19">
      <c r="A5" s="15" t="s">
        <v>89</v>
      </c>
      <c r="B5" s="15" t="s">
        <v>75</v>
      </c>
      <c r="C5" s="15" t="s">
        <v>90</v>
      </c>
      <c r="D5" s="15" t="s">
        <v>77</v>
      </c>
      <c r="E5" s="15" t="s">
        <v>77</v>
      </c>
      <c r="F5" s="15" t="s">
        <v>78</v>
      </c>
      <c r="G5" s="15" t="s">
        <v>79</v>
      </c>
      <c r="H5" s="15" t="s">
        <v>80</v>
      </c>
      <c r="I5" s="15" t="s">
        <v>81</v>
      </c>
      <c r="J5" s="15" t="s">
        <v>82</v>
      </c>
      <c r="K5" s="15" t="s">
        <v>83</v>
      </c>
      <c r="L5" s="15" t="s">
        <v>82</v>
      </c>
      <c r="M5" s="15" t="s">
        <v>78</v>
      </c>
      <c r="N5" s="15" t="s">
        <v>84</v>
      </c>
      <c r="O5" s="2" t="s">
        <v>91</v>
      </c>
      <c r="P5" t="str">
        <f>VLOOKUP(C5,Sheet2!G:H,2,FALSE)</f>
        <v>186****6788</v>
      </c>
      <c r="Q5" s="16" t="s">
        <v>85</v>
      </c>
    </row>
    <row r="6" ht="15" spans="1:19">
      <c r="A6" s="15" t="s">
        <v>92</v>
      </c>
      <c r="B6" s="15" t="s">
        <v>75</v>
      </c>
      <c r="C6" s="15" t="s">
        <v>93</v>
      </c>
      <c r="D6" s="15" t="s">
        <v>77</v>
      </c>
      <c r="E6" s="15" t="s">
        <v>77</v>
      </c>
      <c r="F6" s="15" t="s">
        <v>78</v>
      </c>
      <c r="G6" s="15" t="s">
        <v>79</v>
      </c>
      <c r="H6" s="15" t="s">
        <v>80</v>
      </c>
      <c r="I6" s="15" t="s">
        <v>81</v>
      </c>
      <c r="J6" s="15" t="s">
        <v>88</v>
      </c>
      <c r="K6" s="15" t="s">
        <v>83</v>
      </c>
      <c r="L6" s="15" t="s">
        <v>88</v>
      </c>
      <c r="M6" s="15" t="s">
        <v>78</v>
      </c>
      <c r="N6" s="15" t="s">
        <v>84</v>
      </c>
      <c r="O6" s="1" t="s">
        <v>94</v>
      </c>
      <c r="P6" t="str">
        <f>VLOOKUP(C6,Sheet2!G:H,2,FALSE)</f>
        <v>186****6788</v>
      </c>
      <c r="Q6" s="16" t="s">
        <v>85</v>
      </c>
    </row>
    <row r="7" ht="15" spans="1:19">
      <c r="A7" s="15" t="s">
        <v>95</v>
      </c>
      <c r="B7" s="15" t="s">
        <v>75</v>
      </c>
      <c r="C7" s="15" t="s">
        <v>96</v>
      </c>
      <c r="D7" s="15" t="s">
        <v>77</v>
      </c>
      <c r="E7" s="15" t="s">
        <v>77</v>
      </c>
      <c r="F7" s="15" t="s">
        <v>78</v>
      </c>
      <c r="G7" s="15" t="s">
        <v>79</v>
      </c>
      <c r="H7" s="15" t="s">
        <v>80</v>
      </c>
      <c r="I7" s="15" t="s">
        <v>81</v>
      </c>
      <c r="J7" s="15" t="s">
        <v>82</v>
      </c>
      <c r="K7" s="15" t="s">
        <v>83</v>
      </c>
      <c r="L7" s="15" t="s">
        <v>82</v>
      </c>
      <c r="M7" s="15" t="s">
        <v>78</v>
      </c>
      <c r="N7" s="15" t="s">
        <v>84</v>
      </c>
      <c r="O7" t="str">
        <f>VLOOKUP(C7,Sheet2!A:C,2,FALSE)</f>
        <v>取宝-物流服务</v>
      </c>
      <c r="P7" t="str">
        <f>VLOOKUP(C7,Sheet2!G:H,2,FALSE)</f>
        <v>186****6788</v>
      </c>
      <c r="Q7" s="16" t="s">
        <v>85</v>
      </c>
    </row>
    <row r="8" ht="15.6" spans="1:19">
      <c r="A8" s="15" t="s">
        <v>97</v>
      </c>
      <c r="B8" s="15" t="s">
        <v>75</v>
      </c>
      <c r="C8" s="15" t="s">
        <v>98</v>
      </c>
      <c r="D8" s="15" t="s">
        <v>77</v>
      </c>
      <c r="E8" s="15" t="s">
        <v>77</v>
      </c>
      <c r="F8" s="15" t="s">
        <v>78</v>
      </c>
      <c r="G8" s="15" t="s">
        <v>79</v>
      </c>
      <c r="H8" s="15" t="s">
        <v>80</v>
      </c>
      <c r="I8" s="15" t="s">
        <v>81</v>
      </c>
      <c r="J8" s="15" t="s">
        <v>82</v>
      </c>
      <c r="K8" s="15" t="s">
        <v>83</v>
      </c>
      <c r="L8" s="15" t="s">
        <v>82</v>
      </c>
      <c r="M8" s="15" t="s">
        <v>78</v>
      </c>
      <c r="N8" s="15" t="s">
        <v>84</v>
      </c>
      <c r="O8" s="2" t="s">
        <v>91</v>
      </c>
      <c r="P8" t="str">
        <f>VLOOKUP(C8,Sheet2!G:H,2,FALSE)</f>
        <v>186****6788</v>
      </c>
      <c r="Q8" s="16" t="s">
        <v>85</v>
      </c>
    </row>
    <row r="9" ht="15" spans="1:19">
      <c r="A9" s="15" t="s">
        <v>99</v>
      </c>
      <c r="B9" s="15" t="s">
        <v>75</v>
      </c>
      <c r="C9" s="15" t="s">
        <v>100</v>
      </c>
      <c r="D9" s="15" t="s">
        <v>101</v>
      </c>
      <c r="E9" s="15" t="s">
        <v>101</v>
      </c>
      <c r="F9" s="15" t="s">
        <v>102</v>
      </c>
      <c r="G9" s="15" t="s">
        <v>79</v>
      </c>
      <c r="H9" s="15" t="s">
        <v>80</v>
      </c>
      <c r="I9" s="15" t="s">
        <v>103</v>
      </c>
      <c r="J9" s="15" t="s">
        <v>88</v>
      </c>
      <c r="K9" s="15" t="s">
        <v>83</v>
      </c>
      <c r="L9" s="15" t="s">
        <v>88</v>
      </c>
      <c r="M9" s="15" t="s">
        <v>104</v>
      </c>
      <c r="N9" s="15" t="s">
        <v>84</v>
      </c>
      <c r="O9" s="1" t="s">
        <v>94</v>
      </c>
      <c r="P9" t="str">
        <f>VLOOKUP(C9,Sheet2!G:H,2,FALSE)</f>
        <v>155****0885</v>
      </c>
      <c r="Q9" s="17" t="s">
        <v>102</v>
      </c>
    </row>
    <row r="10" ht="15" spans="1:19">
      <c r="A10" s="15" t="s">
        <v>105</v>
      </c>
      <c r="B10" s="15" t="s">
        <v>106</v>
      </c>
      <c r="C10" s="15" t="s">
        <v>107</v>
      </c>
      <c r="D10" s="15" t="s">
        <v>77</v>
      </c>
      <c r="E10" s="15" t="s">
        <v>77</v>
      </c>
      <c r="F10" s="15" t="s">
        <v>78</v>
      </c>
      <c r="G10" s="15" t="s">
        <v>108</v>
      </c>
      <c r="H10" s="15" t="s">
        <v>80</v>
      </c>
      <c r="I10" s="15" t="s">
        <v>103</v>
      </c>
      <c r="J10" s="15" t="s">
        <v>109</v>
      </c>
      <c r="K10" s="15" t="s">
        <v>83</v>
      </c>
      <c r="L10" s="15" t="s">
        <v>109</v>
      </c>
      <c r="M10" s="15" t="s">
        <v>78</v>
      </c>
      <c r="N10" s="15" t="s">
        <v>110</v>
      </c>
      <c r="O10" t="str">
        <f>VLOOKUP(C10,Sheet2!A:C,2,FALSE)</f>
        <v>立充充电宝取机柜-物流服务</v>
      </c>
      <c r="P10" t="str">
        <f>VLOOKUP(C10,Sheet2!G:H,2,FALSE)</f>
        <v>186****6788</v>
      </c>
      <c r="Q10" s="16" t="s">
        <v>85</v>
      </c>
    </row>
    <row r="11" ht="15" spans="1:19">
      <c r="A11" s="15" t="s">
        <v>111</v>
      </c>
      <c r="B11" s="15" t="s">
        <v>106</v>
      </c>
      <c r="C11" s="15" t="s">
        <v>107</v>
      </c>
      <c r="D11" s="15" t="s">
        <v>77</v>
      </c>
      <c r="E11" s="15" t="s">
        <v>77</v>
      </c>
      <c r="F11" s="15" t="s">
        <v>78</v>
      </c>
      <c r="G11" s="15" t="s">
        <v>79</v>
      </c>
      <c r="H11" s="15" t="s">
        <v>80</v>
      </c>
      <c r="I11" s="15" t="s">
        <v>103</v>
      </c>
      <c r="J11" s="15" t="s">
        <v>112</v>
      </c>
      <c r="K11" s="15" t="s">
        <v>83</v>
      </c>
      <c r="L11" s="15" t="s">
        <v>112</v>
      </c>
      <c r="M11" s="15" t="s">
        <v>78</v>
      </c>
      <c r="N11" s="15" t="s">
        <v>113</v>
      </c>
      <c r="O11" t="str">
        <f>VLOOKUP(C11,Sheet2!A:C,2,FALSE)</f>
        <v>立充充电宝取机柜-物流服务</v>
      </c>
      <c r="P11" t="str">
        <f>VLOOKUP(C11,Sheet2!G:H,2,FALSE)</f>
        <v>186****6788</v>
      </c>
      <c r="Q11" s="16" t="s">
        <v>85</v>
      </c>
    </row>
    <row r="12" ht="15" spans="1:19">
      <c r="A12" s="15" t="s">
        <v>114</v>
      </c>
      <c r="B12" s="15" t="s">
        <v>106</v>
      </c>
      <c r="C12" s="15" t="s">
        <v>115</v>
      </c>
      <c r="D12" s="15" t="s">
        <v>77</v>
      </c>
      <c r="E12" s="15" t="s">
        <v>77</v>
      </c>
      <c r="F12" s="15" t="s">
        <v>78</v>
      </c>
      <c r="G12" s="15" t="s">
        <v>116</v>
      </c>
      <c r="H12" s="15" t="s">
        <v>80</v>
      </c>
      <c r="I12" s="15" t="s">
        <v>103</v>
      </c>
      <c r="J12" s="15" t="s">
        <v>117</v>
      </c>
      <c r="K12" s="15" t="s">
        <v>83</v>
      </c>
      <c r="L12" s="15" t="s">
        <v>117</v>
      </c>
      <c r="M12" s="15" t="s">
        <v>78</v>
      </c>
      <c r="N12" s="15" t="s">
        <v>110</v>
      </c>
      <c r="O12" t="str">
        <f>VLOOKUP(C12,Sheet2!A:C,2,FALSE)</f>
        <v>取宝-物流服务</v>
      </c>
      <c r="P12" t="str">
        <f>VLOOKUP(C12,Sheet2!G:H,2,FALSE)</f>
        <v>186****6788</v>
      </c>
      <c r="Q12" s="16" t="s">
        <v>85</v>
      </c>
    </row>
    <row r="13" ht="15" spans="1:19">
      <c r="A13" s="15" t="s">
        <v>118</v>
      </c>
      <c r="B13" s="15" t="s">
        <v>106</v>
      </c>
      <c r="C13" s="15" t="s">
        <v>119</v>
      </c>
      <c r="D13" s="15" t="s">
        <v>77</v>
      </c>
      <c r="E13" s="15" t="s">
        <v>77</v>
      </c>
      <c r="F13" s="15" t="s">
        <v>120</v>
      </c>
      <c r="G13" s="15" t="s">
        <v>116</v>
      </c>
      <c r="H13" s="15" t="s">
        <v>80</v>
      </c>
      <c r="I13" s="15" t="s">
        <v>103</v>
      </c>
      <c r="J13" s="15" t="s">
        <v>117</v>
      </c>
      <c r="K13" s="15" t="s">
        <v>83</v>
      </c>
      <c r="L13" s="15" t="s">
        <v>117</v>
      </c>
      <c r="M13" s="15" t="s">
        <v>78</v>
      </c>
      <c r="N13" s="15" t="s">
        <v>110</v>
      </c>
      <c r="O13" t="str">
        <f>VLOOKUP(C13,Sheet2!A:C,2,FALSE)</f>
        <v>补宝-物流服务</v>
      </c>
      <c r="P13" t="str">
        <f>VLOOKUP(C13,Sheet2!G:H,2,FALSE)</f>
        <v>186****6788</v>
      </c>
      <c r="Q13" s="16" t="s">
        <v>85</v>
      </c>
    </row>
    <row r="14" ht="15" spans="1:19">
      <c r="A14" s="15" t="s">
        <v>121</v>
      </c>
      <c r="B14" s="15" t="s">
        <v>106</v>
      </c>
      <c r="C14" s="15" t="s">
        <v>122</v>
      </c>
      <c r="D14" s="15" t="s">
        <v>77</v>
      </c>
      <c r="E14" s="15" t="s">
        <v>77</v>
      </c>
      <c r="F14" s="15" t="s">
        <v>123</v>
      </c>
      <c r="G14" s="15" t="s">
        <v>116</v>
      </c>
      <c r="H14" s="15" t="s">
        <v>80</v>
      </c>
      <c r="I14" s="15" t="s">
        <v>103</v>
      </c>
      <c r="J14" s="15" t="s">
        <v>117</v>
      </c>
      <c r="K14" s="15" t="s">
        <v>83</v>
      </c>
      <c r="L14" s="15" t="s">
        <v>117</v>
      </c>
      <c r="M14" s="15" t="s">
        <v>78</v>
      </c>
      <c r="N14" s="15" t="s">
        <v>110</v>
      </c>
      <c r="O14" t="str">
        <f>VLOOKUP(C14,Sheet2!A:C,2,FALSE)</f>
        <v>补宝-物流服务</v>
      </c>
      <c r="P14" t="str">
        <f>VLOOKUP(C14,Sheet2!G:H,2,FALSE)</f>
        <v>186****6788</v>
      </c>
      <c r="Q14" s="16" t="s">
        <v>85</v>
      </c>
    </row>
    <row r="15" ht="15" spans="1:19">
      <c r="A15" s="15" t="s">
        <v>124</v>
      </c>
      <c r="B15" s="15" t="s">
        <v>106</v>
      </c>
      <c r="C15" s="15" t="s">
        <v>125</v>
      </c>
      <c r="D15" s="15" t="s">
        <v>77</v>
      </c>
      <c r="E15" s="15" t="s">
        <v>77</v>
      </c>
      <c r="F15" s="15" t="s">
        <v>120</v>
      </c>
      <c r="G15" s="15" t="s">
        <v>116</v>
      </c>
      <c r="H15" s="15" t="s">
        <v>80</v>
      </c>
      <c r="I15" s="15" t="s">
        <v>103</v>
      </c>
      <c r="J15" s="15" t="s">
        <v>117</v>
      </c>
      <c r="K15" s="15" t="s">
        <v>83</v>
      </c>
      <c r="L15" s="15" t="s">
        <v>117</v>
      </c>
      <c r="M15" s="15" t="s">
        <v>78</v>
      </c>
      <c r="N15" s="15" t="s">
        <v>110</v>
      </c>
      <c r="O15" t="str">
        <f>VLOOKUP(C15,Sheet2!A:C,2,FALSE)</f>
        <v>补宝-物流服务</v>
      </c>
      <c r="P15" t="str">
        <f>VLOOKUP(C15,Sheet2!G:H,2,FALSE)</f>
        <v>186****6788</v>
      </c>
      <c r="Q15" s="16" t="s">
        <v>85</v>
      </c>
    </row>
    <row r="16" ht="15" spans="1:19">
      <c r="A16" s="15" t="s">
        <v>126</v>
      </c>
      <c r="B16" s="15" t="s">
        <v>127</v>
      </c>
      <c r="C16" s="15" t="s">
        <v>107</v>
      </c>
      <c r="D16" s="15" t="s">
        <v>77</v>
      </c>
      <c r="E16" s="15" t="s">
        <v>77</v>
      </c>
      <c r="F16" s="15" t="s">
        <v>78</v>
      </c>
      <c r="G16" s="15" t="s">
        <v>79</v>
      </c>
      <c r="H16" s="15" t="s">
        <v>80</v>
      </c>
      <c r="I16" s="15" t="s">
        <v>81</v>
      </c>
      <c r="J16" s="15" t="s">
        <v>88</v>
      </c>
      <c r="K16" s="15" t="s">
        <v>83</v>
      </c>
      <c r="L16" s="15" t="s">
        <v>88</v>
      </c>
      <c r="M16" s="15" t="s">
        <v>78</v>
      </c>
      <c r="N16" s="15" t="s">
        <v>84</v>
      </c>
      <c r="O16" t="str">
        <f>VLOOKUP(C16,Sheet2!A:C,2,FALSE)</f>
        <v>立充充电宝取机柜-物流服务</v>
      </c>
      <c r="P16" t="str">
        <f>VLOOKUP(C16,Sheet2!G:H,2,FALSE)</f>
        <v>186****6788</v>
      </c>
      <c r="Q16" s="16" t="s">
        <v>85</v>
      </c>
    </row>
    <row r="17" ht="15" spans="1:17">
      <c r="A17" s="15" t="s">
        <v>128</v>
      </c>
      <c r="B17" s="15" t="s">
        <v>127</v>
      </c>
      <c r="C17" s="15" t="s">
        <v>115</v>
      </c>
      <c r="D17" s="15" t="s">
        <v>77</v>
      </c>
      <c r="E17" s="15" t="s">
        <v>77</v>
      </c>
      <c r="F17" s="15" t="s">
        <v>78</v>
      </c>
      <c r="G17" s="15" t="s">
        <v>79</v>
      </c>
      <c r="H17" s="15" t="s">
        <v>80</v>
      </c>
      <c r="I17" s="15" t="s">
        <v>81</v>
      </c>
      <c r="J17" s="15" t="s">
        <v>82</v>
      </c>
      <c r="K17" s="15" t="s">
        <v>83</v>
      </c>
      <c r="L17" s="15" t="s">
        <v>82</v>
      </c>
      <c r="M17" s="15" t="s">
        <v>78</v>
      </c>
      <c r="N17" s="15" t="s">
        <v>84</v>
      </c>
      <c r="O17" t="str">
        <f>VLOOKUP(C17,Sheet2!A:C,2,FALSE)</f>
        <v>取宝-物流服务</v>
      </c>
      <c r="P17" t="str">
        <f>VLOOKUP(C17,Sheet2!G:H,2,FALSE)</f>
        <v>186****6788</v>
      </c>
      <c r="Q17" s="16" t="s">
        <v>85</v>
      </c>
    </row>
    <row r="18" ht="15" spans="1:17">
      <c r="A18" s="15" t="s">
        <v>129</v>
      </c>
      <c r="B18" s="15" t="s">
        <v>127</v>
      </c>
      <c r="C18" s="15" t="s">
        <v>122</v>
      </c>
      <c r="D18" s="15" t="s">
        <v>77</v>
      </c>
      <c r="E18" s="15" t="s">
        <v>77</v>
      </c>
      <c r="F18" s="15" t="s">
        <v>123</v>
      </c>
      <c r="G18" s="15" t="s">
        <v>79</v>
      </c>
      <c r="H18" s="15" t="s">
        <v>80</v>
      </c>
      <c r="I18" s="15" t="s">
        <v>81</v>
      </c>
      <c r="J18" s="15" t="s">
        <v>82</v>
      </c>
      <c r="K18" s="15" t="s">
        <v>83</v>
      </c>
      <c r="L18" s="15" t="s">
        <v>82</v>
      </c>
      <c r="M18" s="15" t="s">
        <v>78</v>
      </c>
      <c r="N18" s="15" t="s">
        <v>130</v>
      </c>
      <c r="O18" t="str">
        <f>VLOOKUP(C18,Sheet2!A:C,2,FALSE)</f>
        <v>补宝-物流服务</v>
      </c>
      <c r="P18" t="str">
        <f>VLOOKUP(C18,Sheet2!G:H,2,FALSE)</f>
        <v>186****6788</v>
      </c>
      <c r="Q18" s="16" t="s">
        <v>85</v>
      </c>
    </row>
    <row r="19" ht="15" spans="1:17">
      <c r="A19" s="15" t="s">
        <v>131</v>
      </c>
      <c r="B19" s="15" t="s">
        <v>132</v>
      </c>
      <c r="C19" s="15" t="s">
        <v>119</v>
      </c>
      <c r="D19" s="15" t="s">
        <v>77</v>
      </c>
      <c r="E19" s="15" t="s">
        <v>77</v>
      </c>
      <c r="F19" s="15" t="s">
        <v>120</v>
      </c>
      <c r="G19" s="15" t="s">
        <v>79</v>
      </c>
      <c r="H19" s="15" t="s">
        <v>80</v>
      </c>
      <c r="I19" s="15" t="s">
        <v>81</v>
      </c>
      <c r="J19" s="15" t="s">
        <v>82</v>
      </c>
      <c r="K19" s="15" t="s">
        <v>83</v>
      </c>
      <c r="L19" s="15" t="s">
        <v>82</v>
      </c>
      <c r="M19" s="15" t="s">
        <v>78</v>
      </c>
      <c r="N19" s="15" t="s">
        <v>130</v>
      </c>
      <c r="O19" t="str">
        <f>VLOOKUP(C19,Sheet2!A:C,2,FALSE)</f>
        <v>补宝-物流服务</v>
      </c>
      <c r="P19" t="str">
        <f>VLOOKUP(C19,Sheet2!G:H,2,FALSE)</f>
        <v>186****6788</v>
      </c>
      <c r="Q19" s="16" t="s">
        <v>85</v>
      </c>
    </row>
    <row r="20" ht="15" spans="1:17">
      <c r="A20" s="15" t="s">
        <v>133</v>
      </c>
      <c r="B20" s="15" t="s">
        <v>132</v>
      </c>
      <c r="C20" s="15" t="s">
        <v>125</v>
      </c>
      <c r="D20" s="15" t="s">
        <v>77</v>
      </c>
      <c r="E20" s="15" t="s">
        <v>77</v>
      </c>
      <c r="F20" s="15" t="s">
        <v>120</v>
      </c>
      <c r="G20" s="15" t="s">
        <v>79</v>
      </c>
      <c r="H20" s="15" t="s">
        <v>80</v>
      </c>
      <c r="I20" s="15" t="s">
        <v>81</v>
      </c>
      <c r="J20" s="15" t="s">
        <v>82</v>
      </c>
      <c r="K20" s="15" t="s">
        <v>83</v>
      </c>
      <c r="L20" s="15" t="s">
        <v>82</v>
      </c>
      <c r="M20" s="15" t="s">
        <v>78</v>
      </c>
      <c r="N20" s="15" t="s">
        <v>130</v>
      </c>
      <c r="O20" t="str">
        <f>VLOOKUP(C20,Sheet2!A:C,2,FALSE)</f>
        <v>补宝-物流服务</v>
      </c>
      <c r="P20" t="str">
        <f>VLOOKUP(C20,Sheet2!G:H,2,FALSE)</f>
        <v>186****6788</v>
      </c>
      <c r="Q20" s="16" t="s">
        <v>85</v>
      </c>
    </row>
    <row r="21" spans="1:17">
      <c r="A21" s="15" t="s">
        <v>134</v>
      </c>
      <c r="B21" s="15" t="s">
        <v>135</v>
      </c>
      <c r="C21" s="15" t="s">
        <v>136</v>
      </c>
      <c r="D21" s="15" t="s">
        <v>137</v>
      </c>
      <c r="E21" s="15" t="s">
        <v>137</v>
      </c>
      <c r="F21" s="15" t="s">
        <v>138</v>
      </c>
      <c r="G21" s="15" t="s">
        <v>116</v>
      </c>
      <c r="H21" s="15" t="s">
        <v>80</v>
      </c>
      <c r="I21" s="15" t="s">
        <v>103</v>
      </c>
      <c r="J21" s="15" t="s">
        <v>139</v>
      </c>
      <c r="K21" s="15" t="s">
        <v>83</v>
      </c>
      <c r="L21" s="15" t="s">
        <v>139</v>
      </c>
      <c r="M21" s="15" t="s">
        <v>140</v>
      </c>
      <c r="N21" s="15" t="s">
        <v>110</v>
      </c>
      <c r="O21" t="str">
        <f>VLOOKUP(C21,Sheet2!A:C,2,FALSE)</f>
        <v>补宝-仅物流</v>
      </c>
      <c r="P21" t="str">
        <f>VLOOKUP(C21,Sheet2!G:H,2,FALSE)</f>
        <v>137****3997</v>
      </c>
      <c r="Q21" s="18" t="s">
        <v>141</v>
      </c>
    </row>
    <row r="22" ht="15" spans="1:17">
      <c r="A22" s="15" t="s">
        <v>142</v>
      </c>
      <c r="B22" s="15" t="s">
        <v>143</v>
      </c>
      <c r="C22" s="15" t="s">
        <v>144</v>
      </c>
      <c r="D22" s="15" t="s">
        <v>137</v>
      </c>
      <c r="E22" s="15" t="s">
        <v>77</v>
      </c>
      <c r="F22" s="15" t="s">
        <v>78</v>
      </c>
      <c r="G22" s="15" t="s">
        <v>145</v>
      </c>
      <c r="H22" s="15" t="s">
        <v>80</v>
      </c>
      <c r="I22" s="15" t="s">
        <v>103</v>
      </c>
      <c r="J22" s="15" t="s">
        <v>146</v>
      </c>
      <c r="K22" s="15" t="s">
        <v>83</v>
      </c>
      <c r="L22" s="15" t="s">
        <v>146</v>
      </c>
      <c r="M22" s="15" t="s">
        <v>78</v>
      </c>
      <c r="N22" s="15" t="s">
        <v>110</v>
      </c>
      <c r="O22" t="str">
        <f>VLOOKUP(C22,Sheet2!A:C,2,FALSE)</f>
        <v>取宝-物流服务</v>
      </c>
      <c r="P22" t="str">
        <f>VLOOKUP(C22,Sheet2!G:H,2,FALSE)</f>
        <v>186****6788</v>
      </c>
      <c r="Q22" s="16" t="s">
        <v>85</v>
      </c>
    </row>
    <row r="23" ht="15" spans="1:17">
      <c r="A23" s="15" t="s">
        <v>147</v>
      </c>
      <c r="B23" s="15" t="s">
        <v>143</v>
      </c>
      <c r="C23" s="15" t="s">
        <v>144</v>
      </c>
      <c r="D23" s="15" t="s">
        <v>137</v>
      </c>
      <c r="E23" s="15" t="s">
        <v>77</v>
      </c>
      <c r="F23" s="15" t="s">
        <v>78</v>
      </c>
      <c r="G23" s="15" t="s">
        <v>79</v>
      </c>
      <c r="H23" s="15" t="s">
        <v>80</v>
      </c>
      <c r="I23" s="15" t="s">
        <v>103</v>
      </c>
      <c r="J23" s="15" t="s">
        <v>148</v>
      </c>
      <c r="K23" s="15" t="s">
        <v>83</v>
      </c>
      <c r="L23" s="15" t="s">
        <v>148</v>
      </c>
      <c r="M23" s="15" t="s">
        <v>78</v>
      </c>
      <c r="N23" s="15" t="s">
        <v>113</v>
      </c>
      <c r="O23" t="str">
        <f>VLOOKUP(C23,Sheet2!A:C,2,FALSE)</f>
        <v>取宝-物流服务</v>
      </c>
      <c r="P23" t="str">
        <f>VLOOKUP(C23,Sheet2!G:H,2,FALSE)</f>
        <v>186****6788</v>
      </c>
      <c r="Q23" s="16" t="s">
        <v>85</v>
      </c>
    </row>
    <row r="24" ht="15" spans="1:17">
      <c r="A24" s="15" t="s">
        <v>149</v>
      </c>
      <c r="B24" s="15" t="s">
        <v>143</v>
      </c>
      <c r="C24" s="15" t="s">
        <v>150</v>
      </c>
      <c r="D24" s="15" t="s">
        <v>137</v>
      </c>
      <c r="E24" s="15" t="s">
        <v>77</v>
      </c>
      <c r="F24" s="15" t="s">
        <v>78</v>
      </c>
      <c r="G24" s="15" t="s">
        <v>116</v>
      </c>
      <c r="H24" s="15" t="s">
        <v>80</v>
      </c>
      <c r="I24" s="15" t="s">
        <v>103</v>
      </c>
      <c r="J24" s="15" t="s">
        <v>109</v>
      </c>
      <c r="K24" s="15" t="s">
        <v>83</v>
      </c>
      <c r="L24" s="15" t="s">
        <v>109</v>
      </c>
      <c r="M24" s="15" t="s">
        <v>78</v>
      </c>
      <c r="N24" s="15" t="s">
        <v>110</v>
      </c>
      <c r="O24" t="str">
        <f>VLOOKUP(C24,Sheet2!A:C,2,FALSE)</f>
        <v>取宝-物流服务</v>
      </c>
      <c r="P24" t="str">
        <f>VLOOKUP(C24,Sheet2!G:H,2,FALSE)</f>
        <v>186****6788</v>
      </c>
      <c r="Q24" s="16" t="s">
        <v>85</v>
      </c>
    </row>
    <row r="25" ht="15" spans="1:17">
      <c r="A25" s="15" t="s">
        <v>151</v>
      </c>
      <c r="B25" s="15" t="s">
        <v>143</v>
      </c>
      <c r="C25" s="15" t="s">
        <v>150</v>
      </c>
      <c r="D25" s="15" t="s">
        <v>137</v>
      </c>
      <c r="E25" s="15" t="s">
        <v>77</v>
      </c>
      <c r="F25" s="15" t="s">
        <v>78</v>
      </c>
      <c r="G25" s="15" t="s">
        <v>79</v>
      </c>
      <c r="H25" s="15" t="s">
        <v>80</v>
      </c>
      <c r="I25" s="15" t="s">
        <v>103</v>
      </c>
      <c r="J25" s="15" t="s">
        <v>152</v>
      </c>
      <c r="K25" s="15" t="s">
        <v>83</v>
      </c>
      <c r="L25" s="15" t="s">
        <v>152</v>
      </c>
      <c r="M25" s="15" t="s">
        <v>78</v>
      </c>
      <c r="N25" s="15" t="s">
        <v>113</v>
      </c>
      <c r="O25" t="str">
        <f>VLOOKUP(C25,Sheet2!A:C,2,FALSE)</f>
        <v>取宝-物流服务</v>
      </c>
      <c r="P25" t="str">
        <f>VLOOKUP(C25,Sheet2!G:H,2,FALSE)</f>
        <v>186****6788</v>
      </c>
      <c r="Q25" s="16" t="s">
        <v>85</v>
      </c>
    </row>
    <row r="26" ht="15" spans="1:17">
      <c r="A26" s="15" t="s">
        <v>153</v>
      </c>
      <c r="B26" s="15" t="s">
        <v>143</v>
      </c>
      <c r="C26" s="15" t="s">
        <v>154</v>
      </c>
      <c r="D26" s="15" t="s">
        <v>137</v>
      </c>
      <c r="E26" s="15" t="s">
        <v>77</v>
      </c>
      <c r="F26" s="15" t="s">
        <v>78</v>
      </c>
      <c r="G26" s="15" t="s">
        <v>155</v>
      </c>
      <c r="H26" s="15" t="s">
        <v>80</v>
      </c>
      <c r="I26" s="15" t="s">
        <v>103</v>
      </c>
      <c r="J26" s="15" t="s">
        <v>146</v>
      </c>
      <c r="K26" s="15" t="s">
        <v>83</v>
      </c>
      <c r="L26" s="15" t="s">
        <v>146</v>
      </c>
      <c r="M26" s="15" t="s">
        <v>78</v>
      </c>
      <c r="N26" s="15" t="s">
        <v>110</v>
      </c>
      <c r="O26" t="str">
        <f>VLOOKUP(C26,Sheet2!A:C,2,FALSE)</f>
        <v>立充充电宝取机柜-物流服务</v>
      </c>
      <c r="P26" t="str">
        <f>VLOOKUP(C26,Sheet2!G:H,2,FALSE)</f>
        <v>186****6788</v>
      </c>
      <c r="Q26" s="16" t="s">
        <v>85</v>
      </c>
    </row>
    <row r="27" ht="15" spans="1:17">
      <c r="A27" s="15" t="s">
        <v>156</v>
      </c>
      <c r="B27" s="15" t="s">
        <v>143</v>
      </c>
      <c r="C27" s="15" t="s">
        <v>154</v>
      </c>
      <c r="D27" s="15" t="s">
        <v>137</v>
      </c>
      <c r="E27" s="15" t="s">
        <v>77</v>
      </c>
      <c r="F27" s="15" t="s">
        <v>78</v>
      </c>
      <c r="G27" s="15" t="s">
        <v>79</v>
      </c>
      <c r="H27" s="15" t="s">
        <v>80</v>
      </c>
      <c r="I27" s="15" t="s">
        <v>103</v>
      </c>
      <c r="J27" s="15" t="s">
        <v>148</v>
      </c>
      <c r="K27" s="15" t="s">
        <v>83</v>
      </c>
      <c r="L27" s="15" t="s">
        <v>148</v>
      </c>
      <c r="M27" s="15" t="s">
        <v>78</v>
      </c>
      <c r="N27" s="15" t="s">
        <v>113</v>
      </c>
      <c r="O27" t="str">
        <f>VLOOKUP(C27,Sheet2!A:C,2,FALSE)</f>
        <v>立充充电宝取机柜-物流服务</v>
      </c>
      <c r="P27" t="str">
        <f>VLOOKUP(C27,Sheet2!G:H,2,FALSE)</f>
        <v>186****6788</v>
      </c>
      <c r="Q27" s="16" t="s">
        <v>85</v>
      </c>
    </row>
    <row r="28" ht="15" spans="1:17">
      <c r="A28" s="15" t="s">
        <v>157</v>
      </c>
      <c r="B28" s="15" t="s">
        <v>143</v>
      </c>
      <c r="C28" s="15" t="s">
        <v>158</v>
      </c>
      <c r="D28" s="15" t="s">
        <v>137</v>
      </c>
      <c r="E28" s="15" t="s">
        <v>77</v>
      </c>
      <c r="F28" s="15" t="s">
        <v>78</v>
      </c>
      <c r="G28" s="15" t="s">
        <v>116</v>
      </c>
      <c r="H28" s="15" t="s">
        <v>80</v>
      </c>
      <c r="I28" s="15" t="s">
        <v>103</v>
      </c>
      <c r="J28" s="15" t="s">
        <v>109</v>
      </c>
      <c r="K28" s="15" t="s">
        <v>83</v>
      </c>
      <c r="L28" s="15" t="s">
        <v>109</v>
      </c>
      <c r="M28" s="15" t="s">
        <v>78</v>
      </c>
      <c r="N28" s="15" t="s">
        <v>110</v>
      </c>
      <c r="O28" t="str">
        <f>VLOOKUP(C28,Sheet2!A:C,2,FALSE)</f>
        <v>取宝-物流服务</v>
      </c>
      <c r="P28" t="str">
        <f>VLOOKUP(C28,Sheet2!G:H,2,FALSE)</f>
        <v>186****6788</v>
      </c>
      <c r="Q28" s="16" t="s">
        <v>85</v>
      </c>
    </row>
    <row r="29" ht="15" spans="1:17">
      <c r="A29" s="15" t="s">
        <v>159</v>
      </c>
      <c r="B29" s="15" t="s">
        <v>143</v>
      </c>
      <c r="C29" s="15" t="s">
        <v>158</v>
      </c>
      <c r="D29" s="15" t="s">
        <v>137</v>
      </c>
      <c r="E29" s="15" t="s">
        <v>77</v>
      </c>
      <c r="F29" s="15" t="s">
        <v>78</v>
      </c>
      <c r="G29" s="15" t="s">
        <v>79</v>
      </c>
      <c r="H29" s="15" t="s">
        <v>80</v>
      </c>
      <c r="I29" s="15" t="s">
        <v>103</v>
      </c>
      <c r="J29" s="15" t="s">
        <v>152</v>
      </c>
      <c r="K29" s="15" t="s">
        <v>83</v>
      </c>
      <c r="L29" s="15" t="s">
        <v>152</v>
      </c>
      <c r="M29" s="15" t="s">
        <v>78</v>
      </c>
      <c r="N29" s="15" t="s">
        <v>113</v>
      </c>
      <c r="O29" t="str">
        <f>VLOOKUP(C29,Sheet2!A:C,2,FALSE)</f>
        <v>取宝-物流服务</v>
      </c>
      <c r="P29" t="str">
        <f>VLOOKUP(C29,Sheet2!G:H,2,FALSE)</f>
        <v>186****6788</v>
      </c>
      <c r="Q29" s="16" t="s">
        <v>85</v>
      </c>
    </row>
    <row r="30" ht="15" spans="1:17">
      <c r="A30" s="15" t="s">
        <v>160</v>
      </c>
      <c r="B30" s="15" t="s">
        <v>143</v>
      </c>
      <c r="C30" s="15" t="s">
        <v>161</v>
      </c>
      <c r="D30" s="15" t="s">
        <v>137</v>
      </c>
      <c r="E30" s="15" t="s">
        <v>77</v>
      </c>
      <c r="F30" s="15" t="s">
        <v>78</v>
      </c>
      <c r="G30" s="15" t="s">
        <v>162</v>
      </c>
      <c r="H30" s="15" t="s">
        <v>80</v>
      </c>
      <c r="I30" s="15" t="s">
        <v>103</v>
      </c>
      <c r="J30" s="15" t="s">
        <v>163</v>
      </c>
      <c r="K30" s="15" t="s">
        <v>83</v>
      </c>
      <c r="L30" s="15" t="s">
        <v>163</v>
      </c>
      <c r="M30" s="15" t="s">
        <v>78</v>
      </c>
      <c r="N30" s="15" t="s">
        <v>110</v>
      </c>
      <c r="O30" t="str">
        <f>VLOOKUP(C30,Sheet2!A:C,2,FALSE)</f>
        <v>立充充电宝取机柜-物流服务</v>
      </c>
      <c r="P30" t="str">
        <f>VLOOKUP(C30,Sheet2!G:H,2,FALSE)</f>
        <v>186****6788</v>
      </c>
      <c r="Q30" s="16" t="s">
        <v>85</v>
      </c>
    </row>
    <row r="31" ht="15" spans="1:17">
      <c r="A31" s="15" t="s">
        <v>164</v>
      </c>
      <c r="B31" s="15" t="s">
        <v>143</v>
      </c>
      <c r="C31" s="15" t="s">
        <v>161</v>
      </c>
      <c r="D31" s="15" t="s">
        <v>137</v>
      </c>
      <c r="E31" s="15" t="s">
        <v>77</v>
      </c>
      <c r="F31" s="15" t="s">
        <v>78</v>
      </c>
      <c r="G31" s="15" t="s">
        <v>79</v>
      </c>
      <c r="H31" s="15" t="s">
        <v>80</v>
      </c>
      <c r="I31" s="15" t="s">
        <v>103</v>
      </c>
      <c r="J31" s="15" t="s">
        <v>139</v>
      </c>
      <c r="K31" s="15" t="s">
        <v>83</v>
      </c>
      <c r="L31" s="15" t="s">
        <v>139</v>
      </c>
      <c r="M31" s="15" t="s">
        <v>78</v>
      </c>
      <c r="N31" s="15" t="s">
        <v>113</v>
      </c>
      <c r="O31" t="str">
        <f>VLOOKUP(C31,Sheet2!A:C,2,FALSE)</f>
        <v>立充充电宝取机柜-物流服务</v>
      </c>
      <c r="P31" t="str">
        <f>VLOOKUP(C31,Sheet2!G:H,2,FALSE)</f>
        <v>186****6788</v>
      </c>
      <c r="Q31" s="16" t="s">
        <v>85</v>
      </c>
    </row>
    <row r="32" ht="15" spans="1:17">
      <c r="A32" s="15" t="s">
        <v>165</v>
      </c>
      <c r="B32" s="15" t="s">
        <v>166</v>
      </c>
      <c r="C32" s="15" t="s">
        <v>144</v>
      </c>
      <c r="D32" s="15" t="s">
        <v>137</v>
      </c>
      <c r="E32" s="15" t="s">
        <v>77</v>
      </c>
      <c r="F32" s="15" t="s">
        <v>78</v>
      </c>
      <c r="G32" s="15" t="s">
        <v>79</v>
      </c>
      <c r="H32" s="15" t="s">
        <v>80</v>
      </c>
      <c r="I32" s="15" t="s">
        <v>81</v>
      </c>
      <c r="J32" s="15" t="s">
        <v>82</v>
      </c>
      <c r="K32" s="15" t="s">
        <v>83</v>
      </c>
      <c r="L32" s="15" t="s">
        <v>82</v>
      </c>
      <c r="M32" s="15" t="s">
        <v>78</v>
      </c>
      <c r="N32" s="15" t="s">
        <v>84</v>
      </c>
      <c r="O32" t="str">
        <f>VLOOKUP(C32,Sheet2!A:C,2,FALSE)</f>
        <v>取宝-物流服务</v>
      </c>
      <c r="P32" t="str">
        <f>VLOOKUP(C32,Sheet2!G:H,2,FALSE)</f>
        <v>186****6788</v>
      </c>
      <c r="Q32" s="16" t="s">
        <v>85</v>
      </c>
    </row>
    <row r="33" ht="15" spans="1:17">
      <c r="A33" s="15" t="s">
        <v>167</v>
      </c>
      <c r="B33" s="15" t="s">
        <v>166</v>
      </c>
      <c r="C33" s="15" t="s">
        <v>150</v>
      </c>
      <c r="D33" s="15" t="s">
        <v>137</v>
      </c>
      <c r="E33" s="15" t="s">
        <v>77</v>
      </c>
      <c r="F33" s="15" t="s">
        <v>78</v>
      </c>
      <c r="G33" s="15" t="s">
        <v>79</v>
      </c>
      <c r="H33" s="15" t="s">
        <v>80</v>
      </c>
      <c r="I33" s="15" t="s">
        <v>81</v>
      </c>
      <c r="J33" s="15" t="s">
        <v>82</v>
      </c>
      <c r="K33" s="15" t="s">
        <v>83</v>
      </c>
      <c r="L33" s="15" t="s">
        <v>82</v>
      </c>
      <c r="M33" s="15" t="s">
        <v>78</v>
      </c>
      <c r="N33" s="15" t="s">
        <v>84</v>
      </c>
      <c r="O33" t="str">
        <f>VLOOKUP(C33,Sheet2!A:C,2,FALSE)</f>
        <v>取宝-物流服务</v>
      </c>
      <c r="P33" t="str">
        <f>VLOOKUP(C33,Sheet2!G:H,2,FALSE)</f>
        <v>186****6788</v>
      </c>
      <c r="Q33" s="16" t="s">
        <v>85</v>
      </c>
    </row>
    <row r="34" ht="15" spans="1:17">
      <c r="A34" s="15" t="s">
        <v>168</v>
      </c>
      <c r="B34" s="15" t="s">
        <v>166</v>
      </c>
      <c r="C34" s="15" t="s">
        <v>154</v>
      </c>
      <c r="D34" s="15" t="s">
        <v>137</v>
      </c>
      <c r="E34" s="15" t="s">
        <v>77</v>
      </c>
      <c r="F34" s="15" t="s">
        <v>78</v>
      </c>
      <c r="G34" s="15" t="s">
        <v>79</v>
      </c>
      <c r="H34" s="15" t="s">
        <v>80</v>
      </c>
      <c r="I34" s="15" t="s">
        <v>81</v>
      </c>
      <c r="J34" s="15" t="s">
        <v>88</v>
      </c>
      <c r="K34" s="15" t="s">
        <v>83</v>
      </c>
      <c r="L34" s="15" t="s">
        <v>88</v>
      </c>
      <c r="M34" s="15" t="s">
        <v>78</v>
      </c>
      <c r="N34" s="15" t="s">
        <v>84</v>
      </c>
      <c r="O34" t="str">
        <f>VLOOKUP(C34,Sheet2!A:C,2,FALSE)</f>
        <v>立充充电宝取机柜-物流服务</v>
      </c>
      <c r="P34" t="str">
        <f>VLOOKUP(C34,Sheet2!G:H,2,FALSE)</f>
        <v>186****6788</v>
      </c>
      <c r="Q34" s="16" t="s">
        <v>85</v>
      </c>
    </row>
    <row r="35" ht="15" spans="1:17">
      <c r="A35" s="15" t="s">
        <v>169</v>
      </c>
      <c r="B35" s="15" t="s">
        <v>166</v>
      </c>
      <c r="C35" s="15" t="s">
        <v>158</v>
      </c>
      <c r="D35" s="15" t="s">
        <v>137</v>
      </c>
      <c r="E35" s="15" t="s">
        <v>77</v>
      </c>
      <c r="F35" s="15" t="s">
        <v>78</v>
      </c>
      <c r="G35" s="15" t="s">
        <v>79</v>
      </c>
      <c r="H35" s="15" t="s">
        <v>80</v>
      </c>
      <c r="I35" s="15" t="s">
        <v>81</v>
      </c>
      <c r="J35" s="15" t="s">
        <v>82</v>
      </c>
      <c r="K35" s="15" t="s">
        <v>83</v>
      </c>
      <c r="L35" s="15" t="s">
        <v>82</v>
      </c>
      <c r="M35" s="15" t="s">
        <v>78</v>
      </c>
      <c r="N35" s="15" t="s">
        <v>84</v>
      </c>
      <c r="O35" t="str">
        <f>VLOOKUP(C35,Sheet2!A:C,2,FALSE)</f>
        <v>取宝-物流服务</v>
      </c>
      <c r="P35" t="str">
        <f>VLOOKUP(C35,Sheet2!G:H,2,FALSE)</f>
        <v>186****6788</v>
      </c>
      <c r="Q35" s="16" t="s">
        <v>85</v>
      </c>
    </row>
    <row r="36" ht="15" spans="1:17">
      <c r="A36" s="15" t="s">
        <v>170</v>
      </c>
      <c r="B36" s="15" t="s">
        <v>166</v>
      </c>
      <c r="C36" s="15" t="s">
        <v>161</v>
      </c>
      <c r="D36" s="15" t="s">
        <v>137</v>
      </c>
      <c r="E36" s="15" t="s">
        <v>77</v>
      </c>
      <c r="F36" s="15" t="s">
        <v>78</v>
      </c>
      <c r="G36" s="15" t="s">
        <v>79</v>
      </c>
      <c r="H36" s="15" t="s">
        <v>80</v>
      </c>
      <c r="I36" s="15" t="s">
        <v>81</v>
      </c>
      <c r="J36" s="15" t="s">
        <v>88</v>
      </c>
      <c r="K36" s="15" t="s">
        <v>83</v>
      </c>
      <c r="L36" s="15" t="s">
        <v>88</v>
      </c>
      <c r="M36" s="15" t="s">
        <v>78</v>
      </c>
      <c r="N36" s="15" t="s">
        <v>84</v>
      </c>
      <c r="O36" t="str">
        <f>VLOOKUP(C36,Sheet2!A:C,2,FALSE)</f>
        <v>立充充电宝取机柜-物流服务</v>
      </c>
      <c r="P36" t="str">
        <f>VLOOKUP(C36,Sheet2!G:H,2,FALSE)</f>
        <v>186****6788</v>
      </c>
      <c r="Q36" s="16" t="s">
        <v>85</v>
      </c>
    </row>
    <row r="37" ht="15" spans="1:17">
      <c r="A37" s="15" t="s">
        <v>171</v>
      </c>
      <c r="B37" s="15" t="s">
        <v>172</v>
      </c>
      <c r="C37" s="15" t="s">
        <v>173</v>
      </c>
      <c r="D37" s="15" t="s">
        <v>137</v>
      </c>
      <c r="E37" s="15" t="s">
        <v>174</v>
      </c>
      <c r="F37" s="15" t="s">
        <v>175</v>
      </c>
      <c r="G37" s="15" t="s">
        <v>116</v>
      </c>
      <c r="H37" s="15" t="s">
        <v>80</v>
      </c>
      <c r="I37" s="15" t="s">
        <v>103</v>
      </c>
      <c r="J37" s="15" t="s">
        <v>146</v>
      </c>
      <c r="K37" s="15" t="s">
        <v>83</v>
      </c>
      <c r="L37" s="15" t="s">
        <v>146</v>
      </c>
      <c r="M37" s="15" t="s">
        <v>176</v>
      </c>
      <c r="N37" s="15" t="s">
        <v>110</v>
      </c>
      <c r="O37" t="str">
        <f>VLOOKUP(C37,Sheet2!A:C,2,FALSE)</f>
        <v>取宝-物流服务</v>
      </c>
      <c r="P37" t="str">
        <f>VLOOKUP(C37,Sheet2!G:H,2,FALSE)</f>
        <v>134****9085</v>
      </c>
      <c r="Q37" s="17" t="s">
        <v>2</v>
      </c>
    </row>
    <row r="38" ht="15" spans="1:17">
      <c r="A38" s="15" t="s">
        <v>177</v>
      </c>
      <c r="B38" s="15" t="s">
        <v>172</v>
      </c>
      <c r="C38" s="15" t="s">
        <v>173</v>
      </c>
      <c r="D38" s="15" t="s">
        <v>137</v>
      </c>
      <c r="E38" s="15" t="s">
        <v>174</v>
      </c>
      <c r="F38" s="15" t="s">
        <v>175</v>
      </c>
      <c r="G38" s="15" t="s">
        <v>79</v>
      </c>
      <c r="H38" s="15" t="s">
        <v>80</v>
      </c>
      <c r="I38" s="15" t="s">
        <v>103</v>
      </c>
      <c r="J38" s="15" t="s">
        <v>152</v>
      </c>
      <c r="K38" s="15" t="s">
        <v>83</v>
      </c>
      <c r="L38" s="15" t="s">
        <v>152</v>
      </c>
      <c r="M38" s="15" t="s">
        <v>176</v>
      </c>
      <c r="N38" s="15" t="s">
        <v>113</v>
      </c>
      <c r="O38" t="str">
        <f>VLOOKUP(C38,Sheet2!A:C,2,FALSE)</f>
        <v>取宝-物流服务</v>
      </c>
      <c r="P38" t="str">
        <f>VLOOKUP(C38,Sheet2!G:H,2,FALSE)</f>
        <v>134****9085</v>
      </c>
      <c r="Q38" s="17" t="s">
        <v>2</v>
      </c>
    </row>
    <row r="39" ht="15" spans="1:17">
      <c r="A39" s="15" t="s">
        <v>178</v>
      </c>
      <c r="B39" s="15" t="s">
        <v>179</v>
      </c>
      <c r="C39" s="15" t="s">
        <v>173</v>
      </c>
      <c r="D39" s="15" t="s">
        <v>137</v>
      </c>
      <c r="E39" s="15" t="s">
        <v>174</v>
      </c>
      <c r="F39" s="15" t="s">
        <v>175</v>
      </c>
      <c r="G39" s="15" t="s">
        <v>79</v>
      </c>
      <c r="H39" s="15" t="s">
        <v>80</v>
      </c>
      <c r="I39" s="15" t="s">
        <v>81</v>
      </c>
      <c r="J39" s="15" t="s">
        <v>82</v>
      </c>
      <c r="K39" s="15" t="s">
        <v>83</v>
      </c>
      <c r="L39" s="15" t="s">
        <v>82</v>
      </c>
      <c r="M39" s="15" t="s">
        <v>176</v>
      </c>
      <c r="N39" s="15" t="s">
        <v>84</v>
      </c>
      <c r="O39" t="str">
        <f>VLOOKUP(C39,Sheet2!A:C,2,FALSE)</f>
        <v>取宝-物流服务</v>
      </c>
      <c r="P39" t="str">
        <f>VLOOKUP(C39,Sheet2!G:H,2,FALSE)</f>
        <v>134****9085</v>
      </c>
      <c r="Q39" s="17" t="s">
        <v>2</v>
      </c>
    </row>
    <row r="40" spans="1:17">
      <c r="A40" s="15" t="s">
        <v>180</v>
      </c>
      <c r="B40" s="19"/>
      <c r="C40" s="19"/>
      <c r="D40" s="19"/>
      <c r="E40" s="19"/>
      <c r="F40" s="19"/>
      <c r="G40" s="19"/>
      <c r="H40" s="19"/>
      <c r="I40" s="20"/>
      <c r="J40" s="15" t="s">
        <v>181</v>
      </c>
      <c r="K40" s="15" t="s">
        <v>83</v>
      </c>
      <c r="L40" s="15" t="s">
        <v>181</v>
      </c>
      <c r="M40" s="15" t="s">
        <v>182</v>
      </c>
      <c r="N40" s="15" t="s">
        <v>182</v>
      </c>
    </row>
  </sheetData>
  <mergeCells count="2">
    <mergeCell ref="A1:N1"/>
    <mergeCell ref="A40:I4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1"/>
  <sheetViews>
    <sheetView workbookViewId="0">
      <selection activeCell="B1" sqref="B1"/>
    </sheetView>
  </sheetViews>
  <sheetFormatPr defaultColWidth="8.88888888888889" defaultRowHeight="14.4"/>
  <cols>
    <col min="2" max="2" width="28.7777777777778" customWidth="1"/>
  </cols>
  <sheetData>
    <row r="1" s="2" customFormat="1" ht="15.6" spans="1:42">
      <c r="A1" s="2" t="s">
        <v>183</v>
      </c>
      <c r="B1" s="2" t="s">
        <v>69</v>
      </c>
      <c r="C1" s="2" t="s">
        <v>184</v>
      </c>
      <c r="D1" s="2" t="s">
        <v>185</v>
      </c>
      <c r="E1" s="2" t="s">
        <v>186</v>
      </c>
      <c r="F1" s="2" t="s">
        <v>187</v>
      </c>
      <c r="G1" s="2" t="s">
        <v>188</v>
      </c>
      <c r="H1" s="2" t="s">
        <v>189</v>
      </c>
      <c r="I1" s="2" t="s">
        <v>190</v>
      </c>
      <c r="J1" s="2" t="s">
        <v>191</v>
      </c>
      <c r="K1" s="2" t="s">
        <v>192</v>
      </c>
      <c r="L1" s="2" t="s">
        <v>193</v>
      </c>
      <c r="M1" s="2" t="s">
        <v>194</v>
      </c>
      <c r="N1" s="2" t="s">
        <v>195</v>
      </c>
      <c r="O1" s="2" t="s">
        <v>196</v>
      </c>
      <c r="P1" s="2" t="s">
        <v>197</v>
      </c>
      <c r="Q1" s="2" t="s">
        <v>198</v>
      </c>
      <c r="R1" s="2" t="s">
        <v>199</v>
      </c>
      <c r="S1" s="2" t="s">
        <v>200</v>
      </c>
      <c r="T1" s="2" t="s">
        <v>201</v>
      </c>
      <c r="U1" s="2" t="s">
        <v>202</v>
      </c>
      <c r="V1" s="2" t="s">
        <v>203</v>
      </c>
      <c r="W1" s="2" t="s">
        <v>204</v>
      </c>
      <c r="X1" s="2" t="s">
        <v>205</v>
      </c>
      <c r="Y1" s="2" t="s">
        <v>206</v>
      </c>
      <c r="Z1" s="2" t="s">
        <v>207</v>
      </c>
      <c r="AA1" s="2" t="s">
        <v>208</v>
      </c>
      <c r="AB1" s="2" t="s">
        <v>209</v>
      </c>
      <c r="AC1" s="2" t="s">
        <v>210</v>
      </c>
      <c r="AD1" s="2" t="s">
        <v>211</v>
      </c>
      <c r="AE1" s="2" t="s">
        <v>212</v>
      </c>
      <c r="AF1" s="2" t="s">
        <v>213</v>
      </c>
      <c r="AG1" s="2" t="s">
        <v>70</v>
      </c>
      <c r="AH1" s="2" t="s">
        <v>214</v>
      </c>
      <c r="AI1" s="2" t="s">
        <v>215</v>
      </c>
      <c r="AJ1" s="2" t="s">
        <v>216</v>
      </c>
      <c r="AK1" s="2" t="s">
        <v>217</v>
      </c>
      <c r="AL1" s="2" t="s">
        <v>218</v>
      </c>
      <c r="AM1" s="2" t="s">
        <v>219</v>
      </c>
      <c r="AN1" s="2" t="s">
        <v>220</v>
      </c>
      <c r="AO1" s="2" t="s">
        <v>221</v>
      </c>
    </row>
    <row r="2" s="2" customFormat="1" ht="15.6" spans="1:42">
      <c r="A2" s="2" t="s">
        <v>125</v>
      </c>
      <c r="B2" s="2" t="s">
        <v>222</v>
      </c>
      <c r="C2" s="2" t="s">
        <v>223</v>
      </c>
      <c r="D2" s="2" t="s">
        <v>224</v>
      </c>
      <c r="E2" s="2" t="s">
        <v>225</v>
      </c>
      <c r="F2" s="2" t="s">
        <v>226</v>
      </c>
      <c r="G2" s="2" t="s">
        <v>182</v>
      </c>
      <c r="I2" s="2" t="s">
        <v>227</v>
      </c>
      <c r="J2" s="2" t="s">
        <v>228</v>
      </c>
      <c r="K2" s="2" t="s">
        <v>229</v>
      </c>
      <c r="L2" s="2" t="s">
        <v>230</v>
      </c>
      <c r="M2" s="2" t="s">
        <v>231</v>
      </c>
      <c r="N2" s="2" t="s">
        <v>232</v>
      </c>
      <c r="O2" s="2" t="s">
        <v>233</v>
      </c>
      <c r="P2" s="2" t="s">
        <v>234</v>
      </c>
      <c r="Q2" s="2" t="s">
        <v>230</v>
      </c>
      <c r="R2" s="2" t="s">
        <v>232</v>
      </c>
      <c r="S2" s="2" t="s">
        <v>235</v>
      </c>
      <c r="T2" s="2" t="s">
        <v>182</v>
      </c>
      <c r="U2" s="2" t="s">
        <v>236</v>
      </c>
      <c r="V2" s="2" t="s">
        <v>237</v>
      </c>
      <c r="W2" s="2" t="s">
        <v>86</v>
      </c>
      <c r="X2" s="2">
        <v>1</v>
      </c>
      <c r="Y2" s="2" t="s">
        <v>182</v>
      </c>
      <c r="Z2" s="2" t="s">
        <v>238</v>
      </c>
      <c r="AA2" s="2" t="s">
        <v>80</v>
      </c>
      <c r="AB2" s="2" t="s">
        <v>182</v>
      </c>
      <c r="AC2" s="2" t="s">
        <v>182</v>
      </c>
      <c r="AD2" s="2" t="s">
        <v>182</v>
      </c>
      <c r="AE2" s="2" t="s">
        <v>239</v>
      </c>
      <c r="AF2" s="2" t="s">
        <v>240</v>
      </c>
      <c r="AG2" s="2" t="s">
        <v>241</v>
      </c>
      <c r="AH2" s="2" t="s">
        <v>242</v>
      </c>
      <c r="AI2" s="2" t="s">
        <v>243</v>
      </c>
      <c r="AJ2" s="2" t="s">
        <v>244</v>
      </c>
      <c r="AK2" s="2" t="s">
        <v>245</v>
      </c>
      <c r="AL2" s="2" t="s">
        <v>6</v>
      </c>
      <c r="AM2" s="2" t="s">
        <v>246</v>
      </c>
      <c r="AN2" s="2" t="s">
        <v>182</v>
      </c>
      <c r="AO2" s="2" t="s">
        <v>182</v>
      </c>
    </row>
    <row r="3" s="2" customFormat="1" ht="15.6" spans="1:42">
      <c r="A3" s="2" t="s">
        <v>119</v>
      </c>
      <c r="B3" s="2" t="s">
        <v>222</v>
      </c>
      <c r="C3" s="2" t="s">
        <v>247</v>
      </c>
      <c r="D3" s="2" t="s">
        <v>224</v>
      </c>
      <c r="E3" s="2" t="s">
        <v>248</v>
      </c>
      <c r="F3" s="2" t="s">
        <v>226</v>
      </c>
      <c r="G3" s="2" t="s">
        <v>182</v>
      </c>
      <c r="I3" s="2" t="s">
        <v>227</v>
      </c>
      <c r="J3" s="2" t="s">
        <v>228</v>
      </c>
      <c r="K3" s="2" t="s">
        <v>229</v>
      </c>
      <c r="L3" s="2" t="s">
        <v>230</v>
      </c>
      <c r="M3" s="2" t="s">
        <v>231</v>
      </c>
      <c r="N3" s="2" t="s">
        <v>232</v>
      </c>
      <c r="O3" s="2" t="s">
        <v>233</v>
      </c>
      <c r="P3" s="2" t="s">
        <v>234</v>
      </c>
      <c r="Q3" s="2" t="s">
        <v>230</v>
      </c>
      <c r="R3" s="2" t="s">
        <v>232</v>
      </c>
      <c r="S3" s="2" t="s">
        <v>235</v>
      </c>
      <c r="T3" s="2" t="s">
        <v>182</v>
      </c>
      <c r="U3" s="2" t="s">
        <v>236</v>
      </c>
      <c r="V3" s="2" t="s">
        <v>237</v>
      </c>
      <c r="W3" s="2" t="s">
        <v>86</v>
      </c>
      <c r="X3" s="2">
        <v>1</v>
      </c>
      <c r="Y3" s="2" t="s">
        <v>182</v>
      </c>
      <c r="Z3" s="2" t="s">
        <v>238</v>
      </c>
      <c r="AA3" s="2" t="s">
        <v>80</v>
      </c>
      <c r="AB3" s="2" t="s">
        <v>182</v>
      </c>
      <c r="AC3" s="2" t="s">
        <v>182</v>
      </c>
      <c r="AD3" s="2" t="s">
        <v>182</v>
      </c>
      <c r="AE3" s="2" t="s">
        <v>239</v>
      </c>
      <c r="AF3" s="2" t="s">
        <v>240</v>
      </c>
      <c r="AG3" s="2" t="s">
        <v>241</v>
      </c>
      <c r="AH3" s="2" t="s">
        <v>242</v>
      </c>
      <c r="AI3" s="2" t="s">
        <v>249</v>
      </c>
      <c r="AJ3" s="2" t="s">
        <v>244</v>
      </c>
      <c r="AK3" s="2" t="s">
        <v>250</v>
      </c>
      <c r="AL3" s="2" t="s">
        <v>6</v>
      </c>
      <c r="AM3" s="2" t="s">
        <v>246</v>
      </c>
      <c r="AN3" s="2" t="s">
        <v>182</v>
      </c>
      <c r="AO3" s="2" t="s">
        <v>182</v>
      </c>
    </row>
    <row r="4" s="2" customFormat="1" ht="15.6" spans="1:42">
      <c r="A4" s="2" t="s">
        <v>122</v>
      </c>
      <c r="B4" s="2" t="s">
        <v>222</v>
      </c>
      <c r="C4" s="2" t="s">
        <v>251</v>
      </c>
      <c r="D4" s="2" t="s">
        <v>224</v>
      </c>
      <c r="E4" s="2" t="s">
        <v>252</v>
      </c>
      <c r="F4" s="2" t="s">
        <v>226</v>
      </c>
      <c r="G4" s="2" t="s">
        <v>182</v>
      </c>
      <c r="I4" s="2" t="s">
        <v>227</v>
      </c>
      <c r="J4" s="2" t="s">
        <v>228</v>
      </c>
      <c r="K4" s="2" t="s">
        <v>229</v>
      </c>
      <c r="L4" s="2" t="s">
        <v>230</v>
      </c>
      <c r="M4" s="2" t="s">
        <v>231</v>
      </c>
      <c r="N4" s="2" t="s">
        <v>232</v>
      </c>
      <c r="O4" s="2" t="s">
        <v>253</v>
      </c>
      <c r="P4" s="2" t="s">
        <v>254</v>
      </c>
      <c r="Q4" s="2" t="s">
        <v>230</v>
      </c>
      <c r="R4" s="2" t="s">
        <v>232</v>
      </c>
      <c r="S4" s="2" t="s">
        <v>255</v>
      </c>
      <c r="T4" s="2" t="s">
        <v>182</v>
      </c>
      <c r="U4" s="2" t="s">
        <v>236</v>
      </c>
      <c r="V4" s="2" t="s">
        <v>237</v>
      </c>
      <c r="W4" s="2" t="s">
        <v>86</v>
      </c>
      <c r="X4" s="2">
        <v>1</v>
      </c>
      <c r="Y4" s="2" t="s">
        <v>182</v>
      </c>
      <c r="Z4" s="2" t="s">
        <v>238</v>
      </c>
      <c r="AA4" s="2" t="s">
        <v>80</v>
      </c>
      <c r="AB4" s="2" t="s">
        <v>182</v>
      </c>
      <c r="AC4" s="2" t="s">
        <v>182</v>
      </c>
      <c r="AD4" s="2" t="s">
        <v>182</v>
      </c>
      <c r="AE4" s="2" t="s">
        <v>239</v>
      </c>
      <c r="AF4" s="2" t="s">
        <v>256</v>
      </c>
      <c r="AG4" s="2" t="s">
        <v>241</v>
      </c>
      <c r="AH4" s="2" t="s">
        <v>257</v>
      </c>
      <c r="AI4" s="2" t="s">
        <v>258</v>
      </c>
      <c r="AJ4" s="2" t="s">
        <v>259</v>
      </c>
      <c r="AK4" s="2" t="s">
        <v>260</v>
      </c>
      <c r="AL4" s="2" t="s">
        <v>6</v>
      </c>
      <c r="AM4" s="2" t="s">
        <v>246</v>
      </c>
      <c r="AN4" s="2" t="s">
        <v>182</v>
      </c>
      <c r="AO4" s="2" t="s">
        <v>182</v>
      </c>
    </row>
    <row r="5" ht="15.6" spans="1:42">
      <c r="A5" s="2" t="s">
        <v>136</v>
      </c>
      <c r="B5" s="2" t="s">
        <v>261</v>
      </c>
      <c r="C5" s="2" t="s">
        <v>262</v>
      </c>
      <c r="E5" s="2" t="s">
        <v>263</v>
      </c>
      <c r="H5" s="2"/>
      <c r="I5" s="2" t="s">
        <v>227</v>
      </c>
      <c r="J5" s="2" t="s">
        <v>228</v>
      </c>
      <c r="K5" s="2" t="s">
        <v>264</v>
      </c>
      <c r="L5" s="2" t="s">
        <v>265</v>
      </c>
      <c r="M5" s="2" t="s">
        <v>266</v>
      </c>
      <c r="N5" s="2" t="s">
        <v>267</v>
      </c>
      <c r="O5" s="2" t="s">
        <v>268</v>
      </c>
      <c r="P5" s="2" t="s">
        <v>269</v>
      </c>
      <c r="Q5" s="2" t="s">
        <v>270</v>
      </c>
      <c r="R5" s="2" t="s">
        <v>271</v>
      </c>
      <c r="S5" s="2" t="s">
        <v>182</v>
      </c>
      <c r="T5" s="2" t="s">
        <v>182</v>
      </c>
      <c r="U5" s="2" t="s">
        <v>272</v>
      </c>
      <c r="V5" s="2" t="s">
        <v>237</v>
      </c>
      <c r="W5" s="2" t="s">
        <v>74</v>
      </c>
      <c r="X5" s="2">
        <v>1</v>
      </c>
      <c r="Y5" s="2" t="s">
        <v>182</v>
      </c>
      <c r="Z5" s="2" t="s">
        <v>238</v>
      </c>
      <c r="AA5" s="2" t="s">
        <v>80</v>
      </c>
      <c r="AB5" s="2" t="s">
        <v>182</v>
      </c>
      <c r="AC5" s="2" t="s">
        <v>182</v>
      </c>
      <c r="AE5" s="2" t="s">
        <v>239</v>
      </c>
      <c r="AF5" s="2" t="s">
        <v>273</v>
      </c>
      <c r="AG5" s="2" t="s">
        <v>274</v>
      </c>
      <c r="AH5" s="2" t="s">
        <v>182</v>
      </c>
      <c r="AI5" s="2" t="s">
        <v>182</v>
      </c>
      <c r="AJ5" s="2" t="s">
        <v>275</v>
      </c>
      <c r="AK5" s="2" t="s">
        <v>276</v>
      </c>
      <c r="AL5" s="2" t="s">
        <v>246</v>
      </c>
      <c r="AM5" s="2" t="s">
        <v>182</v>
      </c>
    </row>
    <row r="6" s="2" customFormat="1" ht="15.6" spans="1:42">
      <c r="A6" s="2" t="s">
        <v>173</v>
      </c>
      <c r="B6" s="2" t="s">
        <v>91</v>
      </c>
      <c r="C6" s="2" t="s">
        <v>277</v>
      </c>
      <c r="D6" s="2" t="s">
        <v>224</v>
      </c>
      <c r="E6" s="2" t="s">
        <v>278</v>
      </c>
      <c r="F6" s="2" t="s">
        <v>226</v>
      </c>
      <c r="G6" s="2" t="s">
        <v>182</v>
      </c>
      <c r="H6" s="2" t="s">
        <v>279</v>
      </c>
      <c r="I6" s="2" t="s">
        <v>227</v>
      </c>
      <c r="J6" s="2" t="s">
        <v>228</v>
      </c>
      <c r="K6" s="2" t="s">
        <v>280</v>
      </c>
      <c r="L6" s="2" t="s">
        <v>281</v>
      </c>
      <c r="M6" s="2" t="s">
        <v>282</v>
      </c>
      <c r="N6" s="2" t="s">
        <v>182</v>
      </c>
      <c r="O6" s="2" t="s">
        <v>182</v>
      </c>
      <c r="P6" s="2" t="s">
        <v>283</v>
      </c>
      <c r="Q6" s="2" t="s">
        <v>284</v>
      </c>
      <c r="R6" s="2" t="s">
        <v>285</v>
      </c>
      <c r="S6" s="2" t="s">
        <v>182</v>
      </c>
      <c r="T6" s="2" t="s">
        <v>182</v>
      </c>
      <c r="U6" s="2" t="s">
        <v>286</v>
      </c>
      <c r="V6" s="2" t="s">
        <v>237</v>
      </c>
      <c r="W6" s="2" t="s">
        <v>74</v>
      </c>
      <c r="X6" s="2">
        <v>1</v>
      </c>
      <c r="Y6" s="2" t="s">
        <v>182</v>
      </c>
      <c r="Z6" s="2" t="s">
        <v>238</v>
      </c>
      <c r="AA6" s="2" t="s">
        <v>80</v>
      </c>
      <c r="AB6" s="2" t="s">
        <v>182</v>
      </c>
      <c r="AC6" s="2" t="s">
        <v>182</v>
      </c>
      <c r="AD6" s="2" t="s">
        <v>182</v>
      </c>
      <c r="AE6" s="2" t="s">
        <v>239</v>
      </c>
      <c r="AF6" s="2" t="s">
        <v>287</v>
      </c>
      <c r="AG6" s="2" t="s">
        <v>288</v>
      </c>
      <c r="AH6" s="2" t="s">
        <v>289</v>
      </c>
      <c r="AI6" s="2" t="s">
        <v>290</v>
      </c>
      <c r="AJ6" s="2" t="s">
        <v>291</v>
      </c>
      <c r="AK6" s="2" t="s">
        <v>292</v>
      </c>
      <c r="AL6" s="2" t="s">
        <v>246</v>
      </c>
      <c r="AM6" s="2" t="s">
        <v>6</v>
      </c>
      <c r="AO6" s="2" t="s">
        <v>182</v>
      </c>
      <c r="AP6" s="2" t="s">
        <v>182</v>
      </c>
    </row>
    <row r="7" s="2" customFormat="1" ht="15.6" spans="1:42">
      <c r="A7" s="2" t="s">
        <v>293</v>
      </c>
      <c r="B7" s="2" t="s">
        <v>91</v>
      </c>
      <c r="C7" s="2" t="s">
        <v>294</v>
      </c>
      <c r="D7" s="2" t="s">
        <v>224</v>
      </c>
      <c r="E7" s="2" t="s">
        <v>295</v>
      </c>
      <c r="F7" s="2" t="s">
        <v>296</v>
      </c>
      <c r="G7" s="2" t="s">
        <v>182</v>
      </c>
      <c r="H7" s="2" t="s">
        <v>279</v>
      </c>
      <c r="I7" s="2" t="s">
        <v>296</v>
      </c>
      <c r="J7" s="2" t="s">
        <v>228</v>
      </c>
      <c r="K7" s="2" t="s">
        <v>182</v>
      </c>
      <c r="L7" s="2" t="s">
        <v>281</v>
      </c>
      <c r="M7" s="2" t="s">
        <v>282</v>
      </c>
      <c r="N7" s="2" t="s">
        <v>182</v>
      </c>
      <c r="O7" s="2" t="s">
        <v>182</v>
      </c>
      <c r="P7" s="2" t="s">
        <v>283</v>
      </c>
      <c r="Q7" s="2" t="s">
        <v>284</v>
      </c>
      <c r="R7" s="2" t="s">
        <v>297</v>
      </c>
      <c r="S7" s="2" t="s">
        <v>182</v>
      </c>
      <c r="T7" s="2" t="s">
        <v>182</v>
      </c>
      <c r="U7" s="2" t="s">
        <v>286</v>
      </c>
      <c r="V7" s="2" t="s">
        <v>237</v>
      </c>
      <c r="W7" s="2" t="s">
        <v>74</v>
      </c>
      <c r="X7" s="2">
        <v>1</v>
      </c>
      <c r="Y7" s="2" t="s">
        <v>182</v>
      </c>
      <c r="Z7" s="2" t="s">
        <v>238</v>
      </c>
      <c r="AA7" s="2" t="s">
        <v>80</v>
      </c>
      <c r="AB7" s="2" t="s">
        <v>182</v>
      </c>
      <c r="AC7" s="2" t="s">
        <v>182</v>
      </c>
      <c r="AD7" s="2" t="s">
        <v>182</v>
      </c>
      <c r="AE7" s="2" t="s">
        <v>239</v>
      </c>
      <c r="AF7" s="2" t="s">
        <v>298</v>
      </c>
      <c r="AG7" s="2" t="s">
        <v>288</v>
      </c>
      <c r="AH7" s="2" t="s">
        <v>182</v>
      </c>
      <c r="AI7" s="2" t="s">
        <v>182</v>
      </c>
      <c r="AJ7" s="2" t="s">
        <v>182</v>
      </c>
      <c r="AK7" s="2" t="s">
        <v>182</v>
      </c>
      <c r="AL7" s="2" t="s">
        <v>246</v>
      </c>
      <c r="AM7" s="2" t="s">
        <v>6</v>
      </c>
      <c r="AO7" s="2" t="s">
        <v>182</v>
      </c>
      <c r="AP7" s="2" t="s">
        <v>182</v>
      </c>
    </row>
    <row r="8" s="2" customFormat="1" ht="15.6" spans="1:42">
      <c r="A8" s="2" t="s">
        <v>299</v>
      </c>
      <c r="B8" s="2" t="s">
        <v>91</v>
      </c>
      <c r="C8" s="2" t="s">
        <v>300</v>
      </c>
      <c r="D8" s="2" t="s">
        <v>224</v>
      </c>
      <c r="E8" s="2" t="s">
        <v>301</v>
      </c>
      <c r="F8" s="2" t="s">
        <v>302</v>
      </c>
      <c r="G8" s="2" t="s">
        <v>182</v>
      </c>
      <c r="H8" s="2" t="s">
        <v>303</v>
      </c>
      <c r="I8" s="2" t="s">
        <v>304</v>
      </c>
      <c r="J8" s="2" t="s">
        <v>228</v>
      </c>
      <c r="K8" s="2" t="s">
        <v>182</v>
      </c>
      <c r="L8" s="2" t="s">
        <v>230</v>
      </c>
      <c r="M8" s="2" t="s">
        <v>231</v>
      </c>
      <c r="N8" s="2" t="s">
        <v>232</v>
      </c>
      <c r="O8" s="2" t="s">
        <v>182</v>
      </c>
      <c r="P8" s="2" t="s">
        <v>236</v>
      </c>
      <c r="Q8" s="2" t="s">
        <v>230</v>
      </c>
      <c r="R8" s="2" t="s">
        <v>232</v>
      </c>
      <c r="S8" s="2" t="s">
        <v>305</v>
      </c>
      <c r="T8" s="2" t="s">
        <v>306</v>
      </c>
      <c r="U8" s="2" t="s">
        <v>307</v>
      </c>
      <c r="V8" s="2" t="s">
        <v>237</v>
      </c>
      <c r="W8" s="2" t="s">
        <v>86</v>
      </c>
      <c r="X8" s="2">
        <v>1</v>
      </c>
      <c r="Y8" s="2" t="s">
        <v>182</v>
      </c>
      <c r="Z8" s="2" t="s">
        <v>238</v>
      </c>
      <c r="AA8" s="2" t="s">
        <v>308</v>
      </c>
      <c r="AB8" s="2" t="s">
        <v>182</v>
      </c>
      <c r="AC8" s="2" t="s">
        <v>182</v>
      </c>
      <c r="AD8" s="2" t="s">
        <v>182</v>
      </c>
      <c r="AE8" s="2" t="s">
        <v>239</v>
      </c>
      <c r="AF8" s="2" t="s">
        <v>309</v>
      </c>
      <c r="AG8" s="2" t="s">
        <v>241</v>
      </c>
      <c r="AH8" s="2" t="s">
        <v>182</v>
      </c>
      <c r="AI8" s="2" t="s">
        <v>182</v>
      </c>
      <c r="AJ8" s="2" t="s">
        <v>182</v>
      </c>
      <c r="AK8" s="2" t="s">
        <v>182</v>
      </c>
      <c r="AL8" s="2" t="s">
        <v>246</v>
      </c>
      <c r="AM8" s="2" t="s">
        <v>6</v>
      </c>
      <c r="AO8" s="2" t="s">
        <v>182</v>
      </c>
      <c r="AP8" s="2" t="s">
        <v>182</v>
      </c>
    </row>
    <row r="9" s="2" customFormat="1" ht="15.6" spans="1:42">
      <c r="A9" s="2" t="s">
        <v>144</v>
      </c>
      <c r="B9" s="2" t="s">
        <v>91</v>
      </c>
      <c r="C9" s="2" t="s">
        <v>310</v>
      </c>
      <c r="D9" s="2" t="s">
        <v>224</v>
      </c>
      <c r="E9" s="2" t="s">
        <v>311</v>
      </c>
      <c r="F9" s="2" t="s">
        <v>226</v>
      </c>
      <c r="G9" s="2" t="s">
        <v>182</v>
      </c>
      <c r="H9" s="2" t="s">
        <v>303</v>
      </c>
      <c r="I9" s="2" t="s">
        <v>227</v>
      </c>
      <c r="J9" s="2" t="s">
        <v>228</v>
      </c>
      <c r="K9" s="2" t="s">
        <v>312</v>
      </c>
      <c r="L9" s="2" t="s">
        <v>230</v>
      </c>
      <c r="M9" s="2" t="s">
        <v>231</v>
      </c>
      <c r="N9" s="2" t="s">
        <v>232</v>
      </c>
      <c r="O9" s="2" t="s">
        <v>182</v>
      </c>
      <c r="P9" s="2" t="s">
        <v>236</v>
      </c>
      <c r="Q9" s="2" t="s">
        <v>230</v>
      </c>
      <c r="R9" s="2" t="s">
        <v>232</v>
      </c>
      <c r="S9" s="2" t="s">
        <v>313</v>
      </c>
      <c r="T9" s="2" t="s">
        <v>306</v>
      </c>
      <c r="U9" s="2" t="s">
        <v>307</v>
      </c>
      <c r="V9" s="2" t="s">
        <v>237</v>
      </c>
      <c r="W9" s="2" t="s">
        <v>86</v>
      </c>
      <c r="X9" s="2">
        <v>1</v>
      </c>
      <c r="Y9" s="2" t="s">
        <v>182</v>
      </c>
      <c r="Z9" s="2" t="s">
        <v>238</v>
      </c>
      <c r="AA9" s="2" t="s">
        <v>308</v>
      </c>
      <c r="AB9" s="2" t="s">
        <v>182</v>
      </c>
      <c r="AC9" s="2" t="s">
        <v>182</v>
      </c>
      <c r="AD9" s="2" t="s">
        <v>182</v>
      </c>
      <c r="AE9" s="2" t="s">
        <v>239</v>
      </c>
      <c r="AF9" s="2" t="s">
        <v>309</v>
      </c>
      <c r="AG9" s="2" t="s">
        <v>241</v>
      </c>
      <c r="AH9" s="2" t="s">
        <v>314</v>
      </c>
      <c r="AI9" s="2" t="s">
        <v>315</v>
      </c>
      <c r="AJ9" s="2" t="s">
        <v>316</v>
      </c>
      <c r="AK9" s="2" t="s">
        <v>317</v>
      </c>
      <c r="AL9" s="2" t="s">
        <v>246</v>
      </c>
      <c r="AM9" s="2" t="s">
        <v>6</v>
      </c>
      <c r="AO9" s="2" t="s">
        <v>182</v>
      </c>
      <c r="AP9" s="2" t="s">
        <v>182</v>
      </c>
    </row>
    <row r="10" s="2" customFormat="1" ht="15.6" spans="1:42">
      <c r="A10" s="2" t="s">
        <v>318</v>
      </c>
      <c r="B10" s="2" t="s">
        <v>91</v>
      </c>
      <c r="C10" s="2" t="s">
        <v>319</v>
      </c>
      <c r="D10" s="2" t="s">
        <v>224</v>
      </c>
      <c r="E10" s="2" t="s">
        <v>320</v>
      </c>
      <c r="F10" s="2" t="s">
        <v>296</v>
      </c>
      <c r="G10" s="2" t="s">
        <v>182</v>
      </c>
      <c r="H10" s="2" t="s">
        <v>321</v>
      </c>
      <c r="I10" s="2" t="s">
        <v>296</v>
      </c>
      <c r="J10" s="2" t="s">
        <v>228</v>
      </c>
      <c r="K10" s="2" t="s">
        <v>182</v>
      </c>
      <c r="L10" s="2" t="s">
        <v>230</v>
      </c>
      <c r="M10" s="2" t="s">
        <v>231</v>
      </c>
      <c r="N10" s="2" t="s">
        <v>232</v>
      </c>
      <c r="O10" s="2" t="s">
        <v>182</v>
      </c>
      <c r="P10" s="2" t="s">
        <v>236</v>
      </c>
      <c r="Q10" s="2" t="s">
        <v>230</v>
      </c>
      <c r="R10" s="2" t="s">
        <v>232</v>
      </c>
      <c r="S10" s="2" t="s">
        <v>313</v>
      </c>
      <c r="T10" s="2" t="s">
        <v>322</v>
      </c>
      <c r="U10" s="2" t="s">
        <v>323</v>
      </c>
      <c r="V10" s="2" t="s">
        <v>237</v>
      </c>
      <c r="W10" s="2" t="s">
        <v>86</v>
      </c>
      <c r="X10" s="2">
        <v>1</v>
      </c>
      <c r="Y10" s="2" t="s">
        <v>182</v>
      </c>
      <c r="Z10" s="2" t="s">
        <v>238</v>
      </c>
      <c r="AA10" s="2" t="s">
        <v>80</v>
      </c>
      <c r="AB10" s="2" t="s">
        <v>182</v>
      </c>
      <c r="AC10" s="2" t="s">
        <v>182</v>
      </c>
      <c r="AD10" s="2" t="s">
        <v>182</v>
      </c>
      <c r="AE10" s="2" t="s">
        <v>239</v>
      </c>
      <c r="AF10" s="2" t="s">
        <v>324</v>
      </c>
      <c r="AG10" s="2" t="s">
        <v>241</v>
      </c>
      <c r="AH10" s="2" t="s">
        <v>182</v>
      </c>
      <c r="AI10" s="2" t="s">
        <v>182</v>
      </c>
      <c r="AJ10" s="2" t="s">
        <v>182</v>
      </c>
      <c r="AK10" s="2" t="s">
        <v>182</v>
      </c>
      <c r="AL10" s="2" t="s">
        <v>246</v>
      </c>
      <c r="AM10" s="2" t="s">
        <v>6</v>
      </c>
      <c r="AO10" s="2" t="s">
        <v>182</v>
      </c>
      <c r="AP10" s="2" t="s">
        <v>182</v>
      </c>
    </row>
    <row r="11" s="2" customFormat="1" ht="15.6" spans="1:42">
      <c r="A11" s="2" t="s">
        <v>325</v>
      </c>
      <c r="B11" s="2" t="s">
        <v>91</v>
      </c>
      <c r="C11" s="2" t="s">
        <v>326</v>
      </c>
      <c r="D11" s="2" t="s">
        <v>224</v>
      </c>
      <c r="E11" s="2" t="s">
        <v>327</v>
      </c>
      <c r="F11" s="2" t="s">
        <v>296</v>
      </c>
      <c r="G11" s="2" t="s">
        <v>182</v>
      </c>
      <c r="H11" s="2" t="s">
        <v>321</v>
      </c>
      <c r="I11" s="2" t="s">
        <v>296</v>
      </c>
      <c r="J11" s="2" t="s">
        <v>228</v>
      </c>
      <c r="K11" s="2" t="s">
        <v>182</v>
      </c>
      <c r="L11" s="2" t="s">
        <v>230</v>
      </c>
      <c r="M11" s="2" t="s">
        <v>231</v>
      </c>
      <c r="N11" s="2" t="s">
        <v>232</v>
      </c>
      <c r="O11" s="2" t="s">
        <v>182</v>
      </c>
      <c r="P11" s="2" t="s">
        <v>236</v>
      </c>
      <c r="Q11" s="2" t="s">
        <v>230</v>
      </c>
      <c r="R11" s="2" t="s">
        <v>232</v>
      </c>
      <c r="S11" s="2" t="s">
        <v>313</v>
      </c>
      <c r="T11" s="2" t="s">
        <v>322</v>
      </c>
      <c r="U11" s="2" t="s">
        <v>323</v>
      </c>
      <c r="V11" s="2" t="s">
        <v>237</v>
      </c>
      <c r="W11" s="2" t="s">
        <v>86</v>
      </c>
      <c r="X11" s="2">
        <v>1</v>
      </c>
      <c r="Y11" s="2" t="s">
        <v>182</v>
      </c>
      <c r="Z11" s="2" t="s">
        <v>238</v>
      </c>
      <c r="AA11" s="2" t="s">
        <v>80</v>
      </c>
      <c r="AB11" s="2" t="s">
        <v>182</v>
      </c>
      <c r="AC11" s="2" t="s">
        <v>182</v>
      </c>
      <c r="AD11" s="2" t="s">
        <v>182</v>
      </c>
      <c r="AE11" s="2" t="s">
        <v>239</v>
      </c>
      <c r="AF11" s="2" t="s">
        <v>324</v>
      </c>
      <c r="AG11" s="2" t="s">
        <v>241</v>
      </c>
      <c r="AH11" s="2" t="s">
        <v>182</v>
      </c>
      <c r="AI11" s="2" t="s">
        <v>182</v>
      </c>
      <c r="AJ11" s="2" t="s">
        <v>182</v>
      </c>
      <c r="AK11" s="2" t="s">
        <v>182</v>
      </c>
      <c r="AL11" s="2" t="s">
        <v>246</v>
      </c>
      <c r="AM11" s="2" t="s">
        <v>6</v>
      </c>
      <c r="AO11" s="2" t="s">
        <v>182</v>
      </c>
      <c r="AP11" s="2" t="s">
        <v>182</v>
      </c>
    </row>
    <row r="12" s="2" customFormat="1" ht="15.6" spans="1:42">
      <c r="A12" s="2" t="s">
        <v>158</v>
      </c>
      <c r="B12" s="2" t="s">
        <v>91</v>
      </c>
      <c r="C12" s="2" t="s">
        <v>328</v>
      </c>
      <c r="D12" s="2" t="s">
        <v>224</v>
      </c>
      <c r="E12" s="2" t="s">
        <v>329</v>
      </c>
      <c r="F12" s="2" t="s">
        <v>226</v>
      </c>
      <c r="G12" s="2" t="s">
        <v>182</v>
      </c>
      <c r="H12" s="2" t="s">
        <v>330</v>
      </c>
      <c r="I12" s="2" t="s">
        <v>227</v>
      </c>
      <c r="J12" s="2" t="s">
        <v>228</v>
      </c>
      <c r="K12" s="2" t="s">
        <v>312</v>
      </c>
      <c r="L12" s="2" t="s">
        <v>230</v>
      </c>
      <c r="M12" s="2" t="s">
        <v>231</v>
      </c>
      <c r="N12" s="2" t="s">
        <v>232</v>
      </c>
      <c r="O12" s="2" t="s">
        <v>182</v>
      </c>
      <c r="P12" s="2" t="s">
        <v>236</v>
      </c>
      <c r="Q12" s="2" t="s">
        <v>230</v>
      </c>
      <c r="R12" s="2" t="s">
        <v>232</v>
      </c>
      <c r="S12" s="2" t="s">
        <v>313</v>
      </c>
      <c r="T12" s="2" t="s">
        <v>331</v>
      </c>
      <c r="U12" s="2" t="s">
        <v>332</v>
      </c>
      <c r="V12" s="2" t="s">
        <v>237</v>
      </c>
      <c r="W12" s="2" t="s">
        <v>86</v>
      </c>
      <c r="X12" s="2">
        <v>1</v>
      </c>
      <c r="Y12" s="2" t="s">
        <v>182</v>
      </c>
      <c r="Z12" s="2" t="s">
        <v>238</v>
      </c>
      <c r="AA12" s="2" t="s">
        <v>80</v>
      </c>
      <c r="AB12" s="2" t="s">
        <v>182</v>
      </c>
      <c r="AC12" s="2" t="s">
        <v>182</v>
      </c>
      <c r="AD12" s="2" t="s">
        <v>182</v>
      </c>
      <c r="AE12" s="2" t="s">
        <v>239</v>
      </c>
      <c r="AF12" s="2" t="s">
        <v>333</v>
      </c>
      <c r="AG12" s="2" t="s">
        <v>241</v>
      </c>
      <c r="AH12" s="2" t="s">
        <v>334</v>
      </c>
      <c r="AI12" s="2" t="s">
        <v>335</v>
      </c>
      <c r="AJ12" s="2" t="s">
        <v>336</v>
      </c>
      <c r="AK12" s="2" t="s">
        <v>317</v>
      </c>
      <c r="AL12" s="2" t="s">
        <v>246</v>
      </c>
      <c r="AM12" s="2" t="s">
        <v>6</v>
      </c>
      <c r="AO12" s="2" t="s">
        <v>182</v>
      </c>
      <c r="AP12" s="2" t="s">
        <v>182</v>
      </c>
    </row>
    <row r="13" s="2" customFormat="1" ht="15.6" spans="1:42">
      <c r="A13" s="2" t="s">
        <v>150</v>
      </c>
      <c r="B13" s="2" t="s">
        <v>91</v>
      </c>
      <c r="C13" s="2" t="s">
        <v>337</v>
      </c>
      <c r="D13" s="2" t="s">
        <v>224</v>
      </c>
      <c r="E13" s="2" t="s">
        <v>338</v>
      </c>
      <c r="F13" s="2" t="s">
        <v>226</v>
      </c>
      <c r="G13" s="2" t="s">
        <v>182</v>
      </c>
      <c r="H13" s="2" t="s">
        <v>330</v>
      </c>
      <c r="I13" s="2" t="s">
        <v>227</v>
      </c>
      <c r="J13" s="2" t="s">
        <v>228</v>
      </c>
      <c r="K13" s="2" t="s">
        <v>312</v>
      </c>
      <c r="L13" s="2" t="s">
        <v>230</v>
      </c>
      <c r="M13" s="2" t="s">
        <v>231</v>
      </c>
      <c r="N13" s="2" t="s">
        <v>232</v>
      </c>
      <c r="O13" s="2" t="s">
        <v>182</v>
      </c>
      <c r="P13" s="2" t="s">
        <v>236</v>
      </c>
      <c r="Q13" s="2" t="s">
        <v>230</v>
      </c>
      <c r="R13" s="2" t="s">
        <v>232</v>
      </c>
      <c r="S13" s="2" t="s">
        <v>313</v>
      </c>
      <c r="T13" s="2" t="s">
        <v>331</v>
      </c>
      <c r="U13" s="2" t="s">
        <v>332</v>
      </c>
      <c r="V13" s="2" t="s">
        <v>237</v>
      </c>
      <c r="W13" s="2" t="s">
        <v>86</v>
      </c>
      <c r="X13" s="2">
        <v>1</v>
      </c>
      <c r="Y13" s="2" t="s">
        <v>182</v>
      </c>
      <c r="Z13" s="2" t="s">
        <v>238</v>
      </c>
      <c r="AA13" s="2" t="s">
        <v>80</v>
      </c>
      <c r="AB13" s="2" t="s">
        <v>182</v>
      </c>
      <c r="AC13" s="2" t="s">
        <v>182</v>
      </c>
      <c r="AD13" s="2" t="s">
        <v>182</v>
      </c>
      <c r="AE13" s="2" t="s">
        <v>239</v>
      </c>
      <c r="AF13" s="2" t="s">
        <v>333</v>
      </c>
      <c r="AG13" s="2" t="s">
        <v>241</v>
      </c>
      <c r="AH13" s="2" t="s">
        <v>334</v>
      </c>
      <c r="AI13" s="2" t="s">
        <v>339</v>
      </c>
      <c r="AJ13" s="2" t="s">
        <v>336</v>
      </c>
      <c r="AK13" s="2" t="s">
        <v>317</v>
      </c>
      <c r="AL13" s="2" t="s">
        <v>246</v>
      </c>
      <c r="AM13" s="2" t="s">
        <v>6</v>
      </c>
      <c r="AO13" s="2" t="s">
        <v>182</v>
      </c>
      <c r="AP13" s="2" t="s">
        <v>182</v>
      </c>
    </row>
    <row r="14" s="2" customFormat="1" ht="15.6" spans="1:42">
      <c r="A14" s="2" t="s">
        <v>115</v>
      </c>
      <c r="B14" s="2" t="s">
        <v>91</v>
      </c>
      <c r="C14" s="2" t="s">
        <v>340</v>
      </c>
      <c r="D14" s="2" t="s">
        <v>224</v>
      </c>
      <c r="E14" s="2" t="s">
        <v>341</v>
      </c>
      <c r="F14" s="2" t="s">
        <v>226</v>
      </c>
      <c r="G14" s="2" t="s">
        <v>182</v>
      </c>
      <c r="H14" s="2" t="s">
        <v>342</v>
      </c>
      <c r="I14" s="2" t="s">
        <v>227</v>
      </c>
      <c r="J14" s="2" t="s">
        <v>228</v>
      </c>
      <c r="K14" s="2" t="s">
        <v>229</v>
      </c>
      <c r="L14" s="2" t="s">
        <v>230</v>
      </c>
      <c r="M14" s="2" t="s">
        <v>231</v>
      </c>
      <c r="N14" s="2" t="s">
        <v>232</v>
      </c>
      <c r="O14" s="2" t="s">
        <v>182</v>
      </c>
      <c r="P14" s="2" t="s">
        <v>236</v>
      </c>
      <c r="Q14" s="2" t="s">
        <v>230</v>
      </c>
      <c r="R14" s="2" t="s">
        <v>232</v>
      </c>
      <c r="S14" s="2" t="s">
        <v>313</v>
      </c>
      <c r="T14" s="2" t="s">
        <v>343</v>
      </c>
      <c r="U14" s="2" t="s">
        <v>344</v>
      </c>
      <c r="V14" s="2" t="s">
        <v>237</v>
      </c>
      <c r="W14" s="2" t="s">
        <v>86</v>
      </c>
      <c r="X14" s="2">
        <v>1</v>
      </c>
      <c r="Y14" s="2" t="s">
        <v>182</v>
      </c>
      <c r="Z14" s="2" t="s">
        <v>238</v>
      </c>
      <c r="AA14" s="2" t="s">
        <v>80</v>
      </c>
      <c r="AB14" s="2" t="s">
        <v>182</v>
      </c>
      <c r="AC14" s="2" t="s">
        <v>182</v>
      </c>
      <c r="AD14" s="2" t="s">
        <v>182</v>
      </c>
      <c r="AE14" s="2" t="s">
        <v>239</v>
      </c>
      <c r="AF14" s="2" t="s">
        <v>345</v>
      </c>
      <c r="AG14" s="2" t="s">
        <v>241</v>
      </c>
      <c r="AH14" s="2" t="s">
        <v>346</v>
      </c>
      <c r="AI14" s="2" t="s">
        <v>347</v>
      </c>
      <c r="AJ14" s="2" t="s">
        <v>348</v>
      </c>
      <c r="AK14" s="2" t="s">
        <v>349</v>
      </c>
      <c r="AL14" s="2" t="s">
        <v>246</v>
      </c>
      <c r="AM14" s="2" t="s">
        <v>6</v>
      </c>
      <c r="AO14" s="2" t="s">
        <v>182</v>
      </c>
      <c r="AP14" s="2" t="s">
        <v>182</v>
      </c>
    </row>
    <row r="15" s="2" customFormat="1" ht="15.6" spans="1:42">
      <c r="A15" s="2" t="s">
        <v>350</v>
      </c>
      <c r="B15" s="2" t="s">
        <v>91</v>
      </c>
      <c r="C15" s="2" t="s">
        <v>351</v>
      </c>
      <c r="D15" s="2" t="s">
        <v>224</v>
      </c>
      <c r="E15" s="2" t="s">
        <v>352</v>
      </c>
      <c r="F15" s="2" t="s">
        <v>296</v>
      </c>
      <c r="G15" s="2" t="s">
        <v>182</v>
      </c>
      <c r="H15" s="2" t="s">
        <v>342</v>
      </c>
      <c r="I15" s="2" t="s">
        <v>296</v>
      </c>
      <c r="J15" s="2" t="s">
        <v>228</v>
      </c>
      <c r="K15" s="2" t="s">
        <v>182</v>
      </c>
      <c r="L15" s="2" t="s">
        <v>230</v>
      </c>
      <c r="M15" s="2" t="s">
        <v>231</v>
      </c>
      <c r="N15" s="2" t="s">
        <v>232</v>
      </c>
      <c r="O15" s="2" t="s">
        <v>182</v>
      </c>
      <c r="P15" s="2" t="s">
        <v>236</v>
      </c>
      <c r="Q15" s="2" t="s">
        <v>230</v>
      </c>
      <c r="R15" s="2" t="s">
        <v>232</v>
      </c>
      <c r="S15" s="2" t="s">
        <v>313</v>
      </c>
      <c r="T15" s="2" t="s">
        <v>343</v>
      </c>
      <c r="U15" s="2" t="s">
        <v>344</v>
      </c>
      <c r="V15" s="2" t="s">
        <v>237</v>
      </c>
      <c r="W15" s="2" t="s">
        <v>86</v>
      </c>
      <c r="X15" s="2">
        <v>1</v>
      </c>
      <c r="Y15" s="2" t="s">
        <v>182</v>
      </c>
      <c r="Z15" s="2" t="s">
        <v>238</v>
      </c>
      <c r="AA15" s="2" t="s">
        <v>80</v>
      </c>
      <c r="AB15" s="2" t="s">
        <v>182</v>
      </c>
      <c r="AC15" s="2" t="s">
        <v>182</v>
      </c>
      <c r="AD15" s="2" t="s">
        <v>182</v>
      </c>
      <c r="AE15" s="2" t="s">
        <v>239</v>
      </c>
      <c r="AF15" s="2" t="s">
        <v>353</v>
      </c>
      <c r="AG15" s="2" t="s">
        <v>241</v>
      </c>
      <c r="AH15" s="2" t="s">
        <v>182</v>
      </c>
      <c r="AI15" s="2" t="s">
        <v>182</v>
      </c>
      <c r="AJ15" s="2" t="s">
        <v>182</v>
      </c>
      <c r="AK15" s="2" t="s">
        <v>182</v>
      </c>
      <c r="AL15" s="2" t="s">
        <v>246</v>
      </c>
      <c r="AM15" s="2" t="s">
        <v>6</v>
      </c>
      <c r="AO15" s="2" t="s">
        <v>182</v>
      </c>
      <c r="AP15" s="2" t="s">
        <v>182</v>
      </c>
    </row>
    <row r="16" s="2" customFormat="1" ht="15.6" spans="1:42">
      <c r="A16" s="2" t="s">
        <v>354</v>
      </c>
      <c r="B16" s="1" t="s">
        <v>94</v>
      </c>
      <c r="C16" s="2" t="s">
        <v>355</v>
      </c>
      <c r="D16" s="2" t="s">
        <v>224</v>
      </c>
      <c r="E16" s="2" t="s">
        <v>356</v>
      </c>
      <c r="F16" s="2" t="s">
        <v>302</v>
      </c>
      <c r="G16" s="2" t="s">
        <v>182</v>
      </c>
      <c r="H16" s="2" t="s">
        <v>303</v>
      </c>
      <c r="I16" s="2" t="s">
        <v>304</v>
      </c>
      <c r="J16" s="2" t="s">
        <v>228</v>
      </c>
      <c r="K16" s="2" t="s">
        <v>182</v>
      </c>
      <c r="L16" s="2" t="s">
        <v>230</v>
      </c>
      <c r="M16" s="2" t="s">
        <v>231</v>
      </c>
      <c r="N16" s="2" t="s">
        <v>232</v>
      </c>
      <c r="O16" s="2" t="s">
        <v>182</v>
      </c>
      <c r="P16" s="2" t="s">
        <v>236</v>
      </c>
      <c r="Q16" s="2" t="s">
        <v>230</v>
      </c>
      <c r="R16" s="2" t="s">
        <v>232</v>
      </c>
      <c r="S16" s="2" t="s">
        <v>357</v>
      </c>
      <c r="T16" s="2" t="s">
        <v>306</v>
      </c>
      <c r="U16" s="2" t="s">
        <v>307</v>
      </c>
      <c r="V16" s="2" t="s">
        <v>358</v>
      </c>
      <c r="W16" s="2" t="s">
        <v>74</v>
      </c>
      <c r="X16" s="2">
        <v>1</v>
      </c>
      <c r="Y16" s="2" t="s">
        <v>182</v>
      </c>
      <c r="Z16" s="2" t="s">
        <v>238</v>
      </c>
      <c r="AA16" s="2" t="s">
        <v>308</v>
      </c>
      <c r="AB16" s="2" t="s">
        <v>182</v>
      </c>
      <c r="AC16" s="2" t="s">
        <v>182</v>
      </c>
      <c r="AD16" s="2" t="s">
        <v>182</v>
      </c>
      <c r="AE16" s="2" t="s">
        <v>239</v>
      </c>
      <c r="AF16" s="2" t="s">
        <v>359</v>
      </c>
      <c r="AG16" s="2" t="s">
        <v>241</v>
      </c>
      <c r="AH16" s="2" t="s">
        <v>182</v>
      </c>
      <c r="AI16" s="2" t="s">
        <v>182</v>
      </c>
      <c r="AJ16" s="2" t="s">
        <v>182</v>
      </c>
      <c r="AK16" s="2" t="s">
        <v>182</v>
      </c>
      <c r="AL16" s="2" t="s">
        <v>6</v>
      </c>
      <c r="AM16" s="2" t="s">
        <v>246</v>
      </c>
      <c r="AO16" s="2" t="s">
        <v>182</v>
      </c>
      <c r="AP16" s="2" t="s">
        <v>182</v>
      </c>
    </row>
    <row r="17" s="2" customFormat="1" ht="15.6" spans="1:42">
      <c r="A17" s="2" t="s">
        <v>360</v>
      </c>
      <c r="B17" s="1" t="s">
        <v>94</v>
      </c>
      <c r="C17" s="2" t="s">
        <v>361</v>
      </c>
      <c r="D17" s="2" t="s">
        <v>224</v>
      </c>
      <c r="E17" s="2" t="s">
        <v>362</v>
      </c>
      <c r="F17" s="2" t="s">
        <v>296</v>
      </c>
      <c r="G17" s="2" t="s">
        <v>182</v>
      </c>
      <c r="H17" s="2" t="s">
        <v>321</v>
      </c>
      <c r="I17" s="2" t="s">
        <v>296</v>
      </c>
      <c r="J17" s="2" t="s">
        <v>228</v>
      </c>
      <c r="K17" s="2" t="s">
        <v>182</v>
      </c>
      <c r="L17" s="2" t="s">
        <v>230</v>
      </c>
      <c r="M17" s="2" t="s">
        <v>231</v>
      </c>
      <c r="N17" s="2" t="s">
        <v>232</v>
      </c>
      <c r="O17" s="2" t="s">
        <v>182</v>
      </c>
      <c r="P17" s="2" t="s">
        <v>236</v>
      </c>
      <c r="Q17" s="2" t="s">
        <v>230</v>
      </c>
      <c r="R17" s="2" t="s">
        <v>232</v>
      </c>
      <c r="S17" s="2" t="s">
        <v>363</v>
      </c>
      <c r="T17" s="2" t="s">
        <v>322</v>
      </c>
      <c r="U17" s="2" t="s">
        <v>323</v>
      </c>
      <c r="V17" s="2" t="s">
        <v>364</v>
      </c>
      <c r="W17" s="2" t="s">
        <v>74</v>
      </c>
      <c r="X17" s="2">
        <v>1</v>
      </c>
      <c r="Y17" s="2" t="s">
        <v>182</v>
      </c>
      <c r="Z17" s="2" t="s">
        <v>238</v>
      </c>
      <c r="AA17" s="2" t="s">
        <v>80</v>
      </c>
      <c r="AB17" s="2" t="s">
        <v>182</v>
      </c>
      <c r="AC17" s="2" t="s">
        <v>182</v>
      </c>
      <c r="AD17" s="2" t="s">
        <v>182</v>
      </c>
      <c r="AE17" s="2" t="s">
        <v>239</v>
      </c>
      <c r="AF17" s="2" t="s">
        <v>365</v>
      </c>
      <c r="AG17" s="2" t="s">
        <v>241</v>
      </c>
      <c r="AH17" s="2" t="s">
        <v>182</v>
      </c>
      <c r="AI17" s="2" t="s">
        <v>182</v>
      </c>
      <c r="AJ17" s="2" t="s">
        <v>182</v>
      </c>
      <c r="AK17" s="2" t="s">
        <v>182</v>
      </c>
      <c r="AL17" s="2" t="s">
        <v>6</v>
      </c>
      <c r="AM17" s="2" t="s">
        <v>246</v>
      </c>
      <c r="AO17" s="2" t="s">
        <v>182</v>
      </c>
      <c r="AP17" s="2" t="s">
        <v>182</v>
      </c>
    </row>
    <row r="18" s="2" customFormat="1" ht="15.6" spans="1:42">
      <c r="A18" s="2" t="s">
        <v>366</v>
      </c>
      <c r="B18" s="1" t="s">
        <v>94</v>
      </c>
      <c r="C18" s="2" t="s">
        <v>367</v>
      </c>
      <c r="D18" s="2" t="s">
        <v>224</v>
      </c>
      <c r="E18" s="2" t="s">
        <v>368</v>
      </c>
      <c r="F18" s="2" t="s">
        <v>296</v>
      </c>
      <c r="G18" s="2" t="s">
        <v>182</v>
      </c>
      <c r="H18" s="2" t="s">
        <v>321</v>
      </c>
      <c r="I18" s="2" t="s">
        <v>296</v>
      </c>
      <c r="J18" s="2" t="s">
        <v>228</v>
      </c>
      <c r="K18" s="2" t="s">
        <v>182</v>
      </c>
      <c r="L18" s="2" t="s">
        <v>230</v>
      </c>
      <c r="M18" s="2" t="s">
        <v>231</v>
      </c>
      <c r="N18" s="2" t="s">
        <v>232</v>
      </c>
      <c r="O18" s="2" t="s">
        <v>182</v>
      </c>
      <c r="P18" s="2" t="s">
        <v>236</v>
      </c>
      <c r="Q18" s="2" t="s">
        <v>230</v>
      </c>
      <c r="R18" s="2" t="s">
        <v>232</v>
      </c>
      <c r="S18" s="2" t="s">
        <v>357</v>
      </c>
      <c r="T18" s="2" t="s">
        <v>322</v>
      </c>
      <c r="U18" s="2" t="s">
        <v>323</v>
      </c>
      <c r="V18" s="2" t="s">
        <v>358</v>
      </c>
      <c r="W18" s="2" t="s">
        <v>74</v>
      </c>
      <c r="X18" s="2">
        <v>1</v>
      </c>
      <c r="Y18" s="2" t="s">
        <v>182</v>
      </c>
      <c r="Z18" s="2" t="s">
        <v>238</v>
      </c>
      <c r="AA18" s="2" t="s">
        <v>80</v>
      </c>
      <c r="AB18" s="2" t="s">
        <v>182</v>
      </c>
      <c r="AC18" s="2" t="s">
        <v>182</v>
      </c>
      <c r="AD18" s="2" t="s">
        <v>182</v>
      </c>
      <c r="AE18" s="2" t="s">
        <v>239</v>
      </c>
      <c r="AF18" s="2" t="s">
        <v>365</v>
      </c>
      <c r="AG18" s="2" t="s">
        <v>241</v>
      </c>
      <c r="AH18" s="2" t="s">
        <v>182</v>
      </c>
      <c r="AI18" s="2" t="s">
        <v>182</v>
      </c>
      <c r="AJ18" s="2" t="s">
        <v>182</v>
      </c>
      <c r="AK18" s="2" t="s">
        <v>182</v>
      </c>
      <c r="AL18" s="2" t="s">
        <v>6</v>
      </c>
      <c r="AM18" s="2" t="s">
        <v>246</v>
      </c>
      <c r="AO18" s="2" t="s">
        <v>182</v>
      </c>
      <c r="AP18" s="2" t="s">
        <v>182</v>
      </c>
    </row>
    <row r="19" s="2" customFormat="1" ht="15.6" spans="1:42">
      <c r="A19" s="2" t="s">
        <v>161</v>
      </c>
      <c r="B19" s="1" t="s">
        <v>94</v>
      </c>
      <c r="C19" s="2" t="s">
        <v>369</v>
      </c>
      <c r="D19" s="2" t="s">
        <v>224</v>
      </c>
      <c r="E19" s="2" t="s">
        <v>370</v>
      </c>
      <c r="F19" s="2" t="s">
        <v>226</v>
      </c>
      <c r="G19" s="2" t="s">
        <v>182</v>
      </c>
      <c r="H19" s="2" t="s">
        <v>330</v>
      </c>
      <c r="I19" s="2" t="s">
        <v>227</v>
      </c>
      <c r="J19" s="2" t="s">
        <v>228</v>
      </c>
      <c r="K19" s="2" t="s">
        <v>312</v>
      </c>
      <c r="L19" s="2" t="s">
        <v>230</v>
      </c>
      <c r="M19" s="2" t="s">
        <v>231</v>
      </c>
      <c r="N19" s="2" t="s">
        <v>232</v>
      </c>
      <c r="O19" s="2" t="s">
        <v>182</v>
      </c>
      <c r="P19" s="2" t="s">
        <v>236</v>
      </c>
      <c r="Q19" s="2" t="s">
        <v>230</v>
      </c>
      <c r="R19" s="2" t="s">
        <v>232</v>
      </c>
      <c r="S19" s="2" t="s">
        <v>363</v>
      </c>
      <c r="T19" s="2" t="s">
        <v>331</v>
      </c>
      <c r="U19" s="2" t="s">
        <v>332</v>
      </c>
      <c r="V19" s="2" t="s">
        <v>364</v>
      </c>
      <c r="W19" s="2" t="s">
        <v>74</v>
      </c>
      <c r="X19" s="2">
        <v>1</v>
      </c>
      <c r="Y19" s="2" t="s">
        <v>182</v>
      </c>
      <c r="Z19" s="2" t="s">
        <v>238</v>
      </c>
      <c r="AA19" s="2" t="s">
        <v>80</v>
      </c>
      <c r="AB19" s="2" t="s">
        <v>182</v>
      </c>
      <c r="AC19" s="2" t="s">
        <v>182</v>
      </c>
      <c r="AD19" s="2" t="s">
        <v>182</v>
      </c>
      <c r="AE19" s="2" t="s">
        <v>239</v>
      </c>
      <c r="AF19" s="2" t="s">
        <v>371</v>
      </c>
      <c r="AG19" s="2" t="s">
        <v>241</v>
      </c>
      <c r="AH19" s="2" t="s">
        <v>334</v>
      </c>
      <c r="AI19" s="2" t="s">
        <v>372</v>
      </c>
      <c r="AJ19" s="2" t="s">
        <v>336</v>
      </c>
      <c r="AK19" s="2" t="s">
        <v>317</v>
      </c>
      <c r="AL19" s="2" t="s">
        <v>6</v>
      </c>
      <c r="AM19" s="2" t="s">
        <v>246</v>
      </c>
      <c r="AO19" s="2" t="s">
        <v>182</v>
      </c>
      <c r="AP19" s="2" t="s">
        <v>182</v>
      </c>
    </row>
    <row r="20" s="2" customFormat="1" ht="15.6" spans="1:42">
      <c r="A20" s="2" t="s">
        <v>154</v>
      </c>
      <c r="B20" s="1" t="s">
        <v>94</v>
      </c>
      <c r="C20" s="2" t="s">
        <v>373</v>
      </c>
      <c r="D20" s="2" t="s">
        <v>224</v>
      </c>
      <c r="E20" s="2" t="s">
        <v>374</v>
      </c>
      <c r="F20" s="2" t="s">
        <v>226</v>
      </c>
      <c r="G20" s="2" t="s">
        <v>182</v>
      </c>
      <c r="H20" s="2" t="s">
        <v>330</v>
      </c>
      <c r="I20" s="2" t="s">
        <v>227</v>
      </c>
      <c r="J20" s="2" t="s">
        <v>228</v>
      </c>
      <c r="K20" s="2" t="s">
        <v>312</v>
      </c>
      <c r="L20" s="2" t="s">
        <v>230</v>
      </c>
      <c r="M20" s="2" t="s">
        <v>231</v>
      </c>
      <c r="N20" s="2" t="s">
        <v>232</v>
      </c>
      <c r="O20" s="2" t="s">
        <v>182</v>
      </c>
      <c r="P20" s="2" t="s">
        <v>236</v>
      </c>
      <c r="Q20" s="2" t="s">
        <v>230</v>
      </c>
      <c r="R20" s="2" t="s">
        <v>232</v>
      </c>
      <c r="S20" s="2" t="s">
        <v>357</v>
      </c>
      <c r="T20" s="2" t="s">
        <v>331</v>
      </c>
      <c r="U20" s="2" t="s">
        <v>332</v>
      </c>
      <c r="V20" s="2" t="s">
        <v>358</v>
      </c>
      <c r="W20" s="2" t="s">
        <v>74</v>
      </c>
      <c r="X20" s="2">
        <v>1</v>
      </c>
      <c r="Y20" s="2" t="s">
        <v>182</v>
      </c>
      <c r="Z20" s="2" t="s">
        <v>238</v>
      </c>
      <c r="AA20" s="2" t="s">
        <v>80</v>
      </c>
      <c r="AB20" s="2" t="s">
        <v>182</v>
      </c>
      <c r="AC20" s="2" t="s">
        <v>182</v>
      </c>
      <c r="AD20" s="2" t="s">
        <v>182</v>
      </c>
      <c r="AE20" s="2" t="s">
        <v>239</v>
      </c>
      <c r="AF20" s="2" t="s">
        <v>371</v>
      </c>
      <c r="AG20" s="2" t="s">
        <v>241</v>
      </c>
      <c r="AH20" s="2" t="s">
        <v>334</v>
      </c>
      <c r="AI20" s="2" t="s">
        <v>375</v>
      </c>
      <c r="AJ20" s="2" t="s">
        <v>336</v>
      </c>
      <c r="AK20" s="2" t="s">
        <v>317</v>
      </c>
      <c r="AL20" s="2" t="s">
        <v>6</v>
      </c>
      <c r="AM20" s="2" t="s">
        <v>246</v>
      </c>
      <c r="AO20" s="2" t="s">
        <v>182</v>
      </c>
      <c r="AP20" s="2" t="s">
        <v>182</v>
      </c>
    </row>
    <row r="21" s="2" customFormat="1" ht="15.6" spans="1:42">
      <c r="A21" s="2" t="s">
        <v>107</v>
      </c>
      <c r="B21" s="1" t="s">
        <v>94</v>
      </c>
      <c r="C21" s="2" t="s">
        <v>376</v>
      </c>
      <c r="D21" s="2" t="s">
        <v>224</v>
      </c>
      <c r="E21" s="2" t="s">
        <v>377</v>
      </c>
      <c r="F21" s="2" t="s">
        <v>226</v>
      </c>
      <c r="G21" s="2" t="s">
        <v>182</v>
      </c>
      <c r="H21" s="2" t="s">
        <v>342</v>
      </c>
      <c r="I21" s="2" t="s">
        <v>227</v>
      </c>
      <c r="J21" s="2" t="s">
        <v>228</v>
      </c>
      <c r="K21" s="2" t="s">
        <v>229</v>
      </c>
      <c r="L21" s="2" t="s">
        <v>230</v>
      </c>
      <c r="M21" s="2" t="s">
        <v>231</v>
      </c>
      <c r="N21" s="2" t="s">
        <v>232</v>
      </c>
      <c r="O21" s="2" t="s">
        <v>182</v>
      </c>
      <c r="P21" s="2" t="s">
        <v>236</v>
      </c>
      <c r="Q21" s="2" t="s">
        <v>230</v>
      </c>
      <c r="R21" s="2" t="s">
        <v>232</v>
      </c>
      <c r="S21" s="2" t="s">
        <v>357</v>
      </c>
      <c r="T21" s="2" t="s">
        <v>343</v>
      </c>
      <c r="U21" s="2" t="s">
        <v>344</v>
      </c>
      <c r="V21" s="2" t="s">
        <v>358</v>
      </c>
      <c r="W21" s="2" t="s">
        <v>74</v>
      </c>
      <c r="X21" s="2">
        <v>1</v>
      </c>
      <c r="Y21" s="2" t="s">
        <v>182</v>
      </c>
      <c r="Z21" s="2" t="s">
        <v>238</v>
      </c>
      <c r="AA21" s="2" t="s">
        <v>80</v>
      </c>
      <c r="AB21" s="2" t="s">
        <v>182</v>
      </c>
      <c r="AC21" s="2" t="s">
        <v>182</v>
      </c>
      <c r="AD21" s="2" t="s">
        <v>182</v>
      </c>
      <c r="AE21" s="2" t="s">
        <v>239</v>
      </c>
      <c r="AF21" s="2" t="s">
        <v>378</v>
      </c>
      <c r="AG21" s="2" t="s">
        <v>241</v>
      </c>
      <c r="AH21" s="2" t="s">
        <v>346</v>
      </c>
      <c r="AI21" s="2" t="s">
        <v>379</v>
      </c>
      <c r="AJ21" s="2" t="s">
        <v>348</v>
      </c>
      <c r="AK21" s="2" t="s">
        <v>349</v>
      </c>
      <c r="AL21" s="2" t="s">
        <v>6</v>
      </c>
      <c r="AM21" s="2" t="s">
        <v>246</v>
      </c>
      <c r="AO21" s="2" t="s">
        <v>182</v>
      </c>
      <c r="AP21" s="2" t="s">
        <v>182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6"/>
  <sheetViews>
    <sheetView workbookViewId="0">
      <selection activeCell="G36" sqref="G36"/>
    </sheetView>
  </sheetViews>
  <sheetFormatPr defaultColWidth="8.88888888888889" defaultRowHeight="14.4"/>
  <cols>
    <col min="1" max="1" width="19.4444444444444" customWidth="1"/>
    <col min="2" max="2" width="28.7777777777778" customWidth="1"/>
    <col min="3" max="3" width="14.4444444444444" customWidth="1"/>
    <col min="7" max="7" width="19.4444444444444" customWidth="1"/>
    <col min="8" max="8" width="14.4444444444444" customWidth="1"/>
    <col min="11" max="11" width="20.6666666666667" customWidth="1"/>
  </cols>
  <sheetData>
    <row r="1" ht="16.2" spans="1:33">
      <c r="A1" s="2" t="s">
        <v>183</v>
      </c>
      <c r="B1" s="2" t="s">
        <v>69</v>
      </c>
      <c r="C1" s="2" t="s">
        <v>194</v>
      </c>
      <c r="G1" s="2" t="s">
        <v>125</v>
      </c>
      <c r="H1" s="2" t="s">
        <v>241</v>
      </c>
      <c r="K1" s="3" t="s">
        <v>380</v>
      </c>
      <c r="L1" s="1" t="s">
        <v>71</v>
      </c>
      <c r="M1" s="4" t="s">
        <v>72</v>
      </c>
      <c r="AG1" s="2" t="s">
        <v>241</v>
      </c>
    </row>
    <row r="2" ht="15.6" spans="1:33">
      <c r="A2" s="2" t="s">
        <v>125</v>
      </c>
      <c r="B2" s="2" t="s">
        <v>222</v>
      </c>
      <c r="C2" s="2" t="s">
        <v>231</v>
      </c>
      <c r="G2" s="2" t="s">
        <v>119</v>
      </c>
      <c r="H2" s="2" t="s">
        <v>241</v>
      </c>
      <c r="K2" s="5" t="s">
        <v>381</v>
      </c>
      <c r="L2" s="6" t="s">
        <v>382</v>
      </c>
      <c r="M2" s="1" t="s">
        <v>383</v>
      </c>
      <c r="AG2" s="2" t="s">
        <v>241</v>
      </c>
    </row>
    <row r="3" ht="15.6" spans="1:33">
      <c r="A3" s="2" t="s">
        <v>119</v>
      </c>
      <c r="B3" s="2" t="s">
        <v>222</v>
      </c>
      <c r="C3" s="2" t="s">
        <v>231</v>
      </c>
      <c r="G3" s="2" t="s">
        <v>122</v>
      </c>
      <c r="H3" s="2" t="s">
        <v>241</v>
      </c>
      <c r="K3" s="5" t="s">
        <v>384</v>
      </c>
      <c r="L3" s="6" t="s">
        <v>385</v>
      </c>
      <c r="M3" s="1" t="s">
        <v>383</v>
      </c>
      <c r="AG3" s="2" t="s">
        <v>241</v>
      </c>
    </row>
    <row r="4" ht="15.6" spans="1:33">
      <c r="A4" s="2" t="s">
        <v>122</v>
      </c>
      <c r="B4" s="2" t="s">
        <v>222</v>
      </c>
      <c r="C4" s="2" t="s">
        <v>231</v>
      </c>
      <c r="G4" s="2" t="s">
        <v>136</v>
      </c>
      <c r="H4" s="2" t="s">
        <v>274</v>
      </c>
      <c r="K4" s="5" t="s">
        <v>386</v>
      </c>
      <c r="L4" s="6" t="s">
        <v>102</v>
      </c>
      <c r="M4" s="1" t="s">
        <v>383</v>
      </c>
      <c r="AG4" s="2" t="s">
        <v>274</v>
      </c>
    </row>
    <row r="5" ht="15.6" spans="1:33">
      <c r="A5" s="2" t="s">
        <v>136</v>
      </c>
      <c r="B5" s="2" t="s">
        <v>261</v>
      </c>
      <c r="C5" s="2" t="s">
        <v>266</v>
      </c>
      <c r="G5" s="2" t="s">
        <v>173</v>
      </c>
      <c r="H5" s="2" t="s">
        <v>288</v>
      </c>
      <c r="K5" s="5" t="s">
        <v>387</v>
      </c>
      <c r="L5" s="6" t="s">
        <v>388</v>
      </c>
      <c r="M5" s="1" t="s">
        <v>383</v>
      </c>
      <c r="AG5" s="2" t="s">
        <v>288</v>
      </c>
    </row>
    <row r="6" ht="15.6" spans="1:33">
      <c r="A6" s="2" t="s">
        <v>173</v>
      </c>
      <c r="B6" s="2" t="s">
        <v>91</v>
      </c>
      <c r="C6" s="2" t="s">
        <v>282</v>
      </c>
      <c r="G6" s="2" t="s">
        <v>293</v>
      </c>
      <c r="H6" s="2" t="s">
        <v>288</v>
      </c>
      <c r="K6" s="5" t="s">
        <v>389</v>
      </c>
      <c r="L6" s="6" t="s">
        <v>390</v>
      </c>
      <c r="M6" s="1" t="s">
        <v>383</v>
      </c>
      <c r="AG6" s="2" t="s">
        <v>288</v>
      </c>
    </row>
    <row r="7" ht="15.6" spans="1:33">
      <c r="A7" s="2" t="s">
        <v>293</v>
      </c>
      <c r="B7" s="2" t="s">
        <v>91</v>
      </c>
      <c r="C7" s="2" t="s">
        <v>282</v>
      </c>
      <c r="G7" s="2" t="s">
        <v>299</v>
      </c>
      <c r="H7" s="2" t="s">
        <v>241</v>
      </c>
      <c r="K7" s="5" t="s">
        <v>391</v>
      </c>
      <c r="L7" s="6" t="s">
        <v>392</v>
      </c>
      <c r="M7" s="1" t="s">
        <v>383</v>
      </c>
      <c r="AG7" s="2" t="s">
        <v>241</v>
      </c>
    </row>
    <row r="8" ht="15.6" spans="1:33">
      <c r="A8" s="2" t="s">
        <v>299</v>
      </c>
      <c r="B8" s="2" t="s">
        <v>91</v>
      </c>
      <c r="C8" s="2" t="s">
        <v>231</v>
      </c>
      <c r="G8" s="2" t="s">
        <v>144</v>
      </c>
      <c r="H8" s="2" t="s">
        <v>241</v>
      </c>
      <c r="K8" s="5" t="s">
        <v>393</v>
      </c>
      <c r="L8" s="6" t="s">
        <v>394</v>
      </c>
      <c r="M8" s="1" t="s">
        <v>383</v>
      </c>
      <c r="AG8" s="2" t="s">
        <v>241</v>
      </c>
    </row>
    <row r="9" ht="15.6" spans="1:33">
      <c r="A9" s="2" t="s">
        <v>144</v>
      </c>
      <c r="B9" s="2" t="s">
        <v>91</v>
      </c>
      <c r="C9" s="2" t="s">
        <v>231</v>
      </c>
      <c r="G9" s="2" t="s">
        <v>318</v>
      </c>
      <c r="H9" s="2" t="s">
        <v>241</v>
      </c>
      <c r="K9" s="5" t="s">
        <v>395</v>
      </c>
      <c r="L9" s="6" t="s">
        <v>396</v>
      </c>
      <c r="M9" s="1" t="s">
        <v>383</v>
      </c>
      <c r="AG9" s="2" t="s">
        <v>241</v>
      </c>
    </row>
    <row r="10" ht="15.6" spans="1:33">
      <c r="A10" s="2" t="s">
        <v>318</v>
      </c>
      <c r="B10" s="2" t="s">
        <v>91</v>
      </c>
      <c r="C10" s="2" t="s">
        <v>231</v>
      </c>
      <c r="G10" s="2" t="s">
        <v>325</v>
      </c>
      <c r="H10" s="2" t="s">
        <v>241</v>
      </c>
      <c r="K10" s="5" t="s">
        <v>397</v>
      </c>
      <c r="L10" s="6" t="s">
        <v>398</v>
      </c>
      <c r="M10" s="1" t="s">
        <v>383</v>
      </c>
      <c r="AG10" s="2" t="s">
        <v>241</v>
      </c>
    </row>
    <row r="11" ht="15.6" spans="1:33">
      <c r="A11" s="2" t="s">
        <v>325</v>
      </c>
      <c r="B11" s="2" t="s">
        <v>91</v>
      </c>
      <c r="C11" s="2" t="s">
        <v>231</v>
      </c>
      <c r="G11" s="2" t="s">
        <v>158</v>
      </c>
      <c r="H11" s="2" t="s">
        <v>241</v>
      </c>
      <c r="K11" s="5" t="s">
        <v>399</v>
      </c>
      <c r="L11" s="6" t="s">
        <v>400</v>
      </c>
      <c r="M11" s="1" t="s">
        <v>383</v>
      </c>
      <c r="AG11" s="2" t="s">
        <v>241</v>
      </c>
    </row>
    <row r="12" ht="15.6" spans="1:33">
      <c r="A12" s="2" t="s">
        <v>158</v>
      </c>
      <c r="B12" s="2" t="s">
        <v>91</v>
      </c>
      <c r="C12" s="2" t="s">
        <v>231</v>
      </c>
      <c r="G12" s="2" t="s">
        <v>150</v>
      </c>
      <c r="H12" s="2" t="s">
        <v>241</v>
      </c>
      <c r="K12" s="7" t="s">
        <v>401</v>
      </c>
      <c r="L12" s="8" t="s">
        <v>402</v>
      </c>
      <c r="M12" s="1" t="s">
        <v>383</v>
      </c>
      <c r="AG12" s="2" t="s">
        <v>241</v>
      </c>
    </row>
    <row r="13" ht="15.6" spans="1:33">
      <c r="A13" s="2" t="s">
        <v>150</v>
      </c>
      <c r="B13" s="2" t="s">
        <v>91</v>
      </c>
      <c r="C13" s="2" t="s">
        <v>231</v>
      </c>
      <c r="G13" s="2" t="s">
        <v>115</v>
      </c>
      <c r="H13" s="2" t="s">
        <v>241</v>
      </c>
      <c r="K13" s="5" t="s">
        <v>241</v>
      </c>
      <c r="L13" s="9" t="s">
        <v>85</v>
      </c>
      <c r="M13" s="1" t="s">
        <v>383</v>
      </c>
      <c r="AG13" s="2" t="s">
        <v>241</v>
      </c>
    </row>
    <row r="14" ht="15.6" spans="1:33">
      <c r="A14" s="2" t="s">
        <v>115</v>
      </c>
      <c r="B14" s="2" t="s">
        <v>91</v>
      </c>
      <c r="C14" s="2" t="s">
        <v>231</v>
      </c>
      <c r="G14" s="2" t="s">
        <v>350</v>
      </c>
      <c r="H14" s="2" t="s">
        <v>241</v>
      </c>
      <c r="K14" s="5" t="s">
        <v>403</v>
      </c>
      <c r="L14" s="6" t="s">
        <v>404</v>
      </c>
      <c r="M14" s="1" t="s">
        <v>383</v>
      </c>
      <c r="AG14" s="2" t="s">
        <v>241</v>
      </c>
    </row>
    <row r="15" ht="15.6" spans="1:33">
      <c r="A15" s="2" t="s">
        <v>350</v>
      </c>
      <c r="B15" s="2" t="s">
        <v>91</v>
      </c>
      <c r="C15" s="2" t="s">
        <v>231</v>
      </c>
      <c r="G15" s="2" t="s">
        <v>354</v>
      </c>
      <c r="H15" s="2" t="s">
        <v>241</v>
      </c>
      <c r="K15" s="5" t="s">
        <v>405</v>
      </c>
      <c r="L15" s="6" t="s">
        <v>406</v>
      </c>
      <c r="M15" s="1" t="s">
        <v>383</v>
      </c>
      <c r="AG15" s="2" t="s">
        <v>241</v>
      </c>
    </row>
    <row r="16" ht="15.6" spans="1:33">
      <c r="A16" s="2" t="s">
        <v>354</v>
      </c>
      <c r="B16" s="1" t="s">
        <v>94</v>
      </c>
      <c r="C16" s="2" t="s">
        <v>231</v>
      </c>
      <c r="G16" s="2" t="s">
        <v>360</v>
      </c>
      <c r="H16" s="2" t="s">
        <v>241</v>
      </c>
      <c r="K16" s="5" t="s">
        <v>407</v>
      </c>
      <c r="L16" s="6" t="s">
        <v>408</v>
      </c>
      <c r="M16" s="1" t="s">
        <v>383</v>
      </c>
      <c r="AG16" s="2" t="s">
        <v>241</v>
      </c>
    </row>
    <row r="17" ht="15.6" spans="1:41">
      <c r="A17" s="2" t="s">
        <v>360</v>
      </c>
      <c r="B17" s="1" t="s">
        <v>94</v>
      </c>
      <c r="C17" s="2" t="s">
        <v>231</v>
      </c>
      <c r="G17" s="2" t="s">
        <v>366</v>
      </c>
      <c r="H17" s="2" t="s">
        <v>241</v>
      </c>
      <c r="K17" s="5" t="s">
        <v>288</v>
      </c>
      <c r="L17" s="6" t="s">
        <v>2</v>
      </c>
      <c r="M17" s="1" t="s">
        <v>383</v>
      </c>
      <c r="AG17" s="2" t="s">
        <v>241</v>
      </c>
    </row>
    <row r="18" ht="15.6" spans="1:41">
      <c r="A18" s="2" t="s">
        <v>366</v>
      </c>
      <c r="B18" s="1" t="s">
        <v>94</v>
      </c>
      <c r="C18" s="2" t="s">
        <v>231</v>
      </c>
      <c r="G18" s="2" t="s">
        <v>161</v>
      </c>
      <c r="H18" s="2" t="s">
        <v>241</v>
      </c>
      <c r="AG18" s="2" t="s">
        <v>241</v>
      </c>
    </row>
    <row r="19" ht="15.6" spans="1:41">
      <c r="A19" s="2" t="s">
        <v>161</v>
      </c>
      <c r="B19" s="1" t="s">
        <v>94</v>
      </c>
      <c r="C19" s="2" t="s">
        <v>231</v>
      </c>
      <c r="G19" s="2" t="s">
        <v>154</v>
      </c>
      <c r="H19" s="2" t="s">
        <v>241</v>
      </c>
      <c r="AG19" s="2" t="s">
        <v>241</v>
      </c>
    </row>
    <row r="20" ht="15.6" spans="1:41">
      <c r="A20" s="2" t="s">
        <v>154</v>
      </c>
      <c r="B20" s="1" t="s">
        <v>94</v>
      </c>
      <c r="C20" s="2" t="s">
        <v>231</v>
      </c>
      <c r="G20" s="2" t="s">
        <v>107</v>
      </c>
      <c r="H20" s="2" t="s">
        <v>241</v>
      </c>
      <c r="AG20" s="2" t="s">
        <v>241</v>
      </c>
    </row>
    <row r="21" ht="15.6" spans="1:41">
      <c r="A21" s="2" t="s">
        <v>107</v>
      </c>
      <c r="B21" s="1" t="s">
        <v>94</v>
      </c>
      <c r="C21" s="2" t="s">
        <v>231</v>
      </c>
    </row>
    <row r="29" ht="15.6" spans="1:41">
      <c r="G29" s="2" t="s">
        <v>76</v>
      </c>
      <c r="H29" s="2" t="s">
        <v>241</v>
      </c>
    </row>
    <row r="30" s="1" customFormat="1" ht="15.6" spans="1:41">
      <c r="A30" s="2" t="s">
        <v>76</v>
      </c>
      <c r="B30" s="2" t="s">
        <v>91</v>
      </c>
      <c r="C30" s="2" t="s">
        <v>231</v>
      </c>
      <c r="D30" s="2"/>
      <c r="E30" s="2"/>
      <c r="F30" s="2"/>
      <c r="G30" s="2" t="s">
        <v>87</v>
      </c>
      <c r="H30" s="2" t="s">
        <v>241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O30" s="2"/>
    </row>
    <row r="31" s="1" customFormat="1" ht="15.6" spans="1:41">
      <c r="A31" s="2" t="s">
        <v>87</v>
      </c>
      <c r="B31" s="1" t="s">
        <v>94</v>
      </c>
      <c r="C31" s="2" t="s">
        <v>231</v>
      </c>
      <c r="D31" s="2"/>
      <c r="E31" s="2"/>
      <c r="F31" s="2"/>
      <c r="G31" s="2" t="s">
        <v>90</v>
      </c>
      <c r="H31" s="2" t="s">
        <v>241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="1" customFormat="1" ht="15.6" spans="1:41">
      <c r="A32" s="2" t="s">
        <v>90</v>
      </c>
      <c r="B32" s="2" t="s">
        <v>91</v>
      </c>
      <c r="C32" s="2" t="s">
        <v>231</v>
      </c>
      <c r="D32" s="2"/>
      <c r="E32" s="2"/>
      <c r="F32" s="2"/>
      <c r="G32" s="2" t="s">
        <v>93</v>
      </c>
      <c r="H32" s="2" t="s">
        <v>241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O32" s="2"/>
    </row>
    <row r="33" s="1" customFormat="1" ht="15.6" spans="1:41">
      <c r="A33" s="2" t="s">
        <v>93</v>
      </c>
      <c r="B33" s="1" t="s">
        <v>94</v>
      </c>
      <c r="C33" s="2" t="s">
        <v>231</v>
      </c>
      <c r="D33" s="2"/>
      <c r="E33" s="2"/>
      <c r="F33" s="2"/>
      <c r="G33" s="2" t="s">
        <v>96</v>
      </c>
      <c r="H33" s="2" t="s">
        <v>241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="1" customFormat="1" ht="15.6" spans="1:41">
      <c r="A34" s="2" t="s">
        <v>96</v>
      </c>
      <c r="B34" s="2" t="s">
        <v>91</v>
      </c>
      <c r="C34" s="2" t="s">
        <v>231</v>
      </c>
      <c r="D34" s="2"/>
      <c r="E34" s="2"/>
      <c r="F34" s="2"/>
      <c r="G34" s="2" t="s">
        <v>100</v>
      </c>
      <c r="H34" s="2" t="s">
        <v>386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O34" s="2"/>
    </row>
    <row r="35" s="1" customFormat="1" ht="15.6" spans="1:41">
      <c r="A35" s="2" t="s">
        <v>100</v>
      </c>
      <c r="B35" s="1" t="s">
        <v>94</v>
      </c>
      <c r="C35" s="2" t="s">
        <v>409</v>
      </c>
      <c r="D35" s="2"/>
      <c r="E35" s="2"/>
      <c r="F35" s="2"/>
      <c r="G35" s="2" t="s">
        <v>98</v>
      </c>
      <c r="H35" s="2" t="s">
        <v>241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="1" customFormat="1" ht="15.6" spans="1:41">
      <c r="A36" s="2" t="s">
        <v>98</v>
      </c>
      <c r="B36" s="2" t="s">
        <v>91</v>
      </c>
      <c r="C36" s="2" t="s">
        <v>231</v>
      </c>
      <c r="D36" s="2"/>
      <c r="E36" s="2"/>
      <c r="F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O3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账单总览</vt:lpstr>
      <vt:lpstr>账单明细</vt:lpstr>
      <vt:lpstr>月结报告</vt:lpstr>
      <vt:lpstr>1月订单明细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邓楚溦</cp:lastModifiedBy>
  <dcterms:created xsi:type="dcterms:W3CDTF">2026-02-01T14:10:00Z</dcterms:created>
  <dcterms:modified xsi:type="dcterms:W3CDTF">2026-02-06T03:22:31Z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AD1E976DDD644A4C9C9F88EBFA2127B8_13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